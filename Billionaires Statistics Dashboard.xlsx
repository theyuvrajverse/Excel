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837D6E2-EE8A-41B9-A4AB-BBB2A4BA54C5}" xr6:coauthVersionLast="47" xr6:coauthVersionMax="47" xr10:uidLastSave="{00000000-0000-0000-0000-000000000000}"/>
  <bookViews>
    <workbookView xWindow="-108" yWindow="-108" windowWidth="23256" windowHeight="13896" activeTab="2" xr2:uid="{00000000-000D-0000-FFFF-FFFF00000000}"/>
  </bookViews>
  <sheets>
    <sheet name="Sheet2" sheetId="4" r:id="rId1"/>
    <sheet name="Detail1" sheetId="6" r:id="rId2"/>
    <sheet name="Sheet3" sheetId="5" r:id="rId3"/>
    <sheet name="Data" sheetId="1" r:id="rId4"/>
    <sheet name="Data (2)" sheetId="3" r:id="rId5"/>
  </sheets>
  <definedNames>
    <definedName name="Slicer_category">#N/A</definedName>
    <definedName name="Slicer_gender">#N/A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V6" i="1" s="1"/>
  <c r="W7" i="1"/>
  <c r="V7" i="1" s="1"/>
  <c r="W8" i="1"/>
  <c r="V8" i="1" s="1"/>
  <c r="W9" i="1"/>
  <c r="V9" i="1" s="1"/>
  <c r="W10" i="1"/>
  <c r="W11" i="1"/>
  <c r="W12" i="1"/>
  <c r="W13" i="1"/>
  <c r="W14" i="1"/>
  <c r="W15" i="1"/>
  <c r="W16" i="1"/>
  <c r="W17" i="1"/>
  <c r="W18" i="1"/>
  <c r="V18" i="1" s="1"/>
  <c r="W19" i="1"/>
  <c r="V19" i="1" s="1"/>
  <c r="W20" i="1"/>
  <c r="V20" i="1" s="1"/>
  <c r="W21" i="1"/>
  <c r="V21" i="1" s="1"/>
  <c r="W22" i="1"/>
  <c r="W23" i="1"/>
  <c r="W24" i="1"/>
  <c r="W25" i="1"/>
  <c r="W26" i="1"/>
  <c r="W27" i="1"/>
  <c r="W28" i="1"/>
  <c r="W29" i="1"/>
  <c r="W30" i="1"/>
  <c r="V30" i="1" s="1"/>
  <c r="W31" i="1"/>
  <c r="V31" i="1" s="1"/>
  <c r="W32" i="1"/>
  <c r="V32" i="1" s="1"/>
  <c r="W33" i="1"/>
  <c r="V33" i="1" s="1"/>
  <c r="W34" i="1"/>
  <c r="W35" i="1"/>
  <c r="W36" i="1"/>
  <c r="W37" i="1"/>
  <c r="W38" i="1"/>
  <c r="W39" i="1"/>
  <c r="W40" i="1"/>
  <c r="W41" i="1"/>
  <c r="W42" i="1"/>
  <c r="V42" i="1" s="1"/>
  <c r="W43" i="1"/>
  <c r="V43" i="1" s="1"/>
  <c r="W44" i="1"/>
  <c r="V44" i="1" s="1"/>
  <c r="W45" i="1"/>
  <c r="V45" i="1" s="1"/>
  <c r="W46" i="1"/>
  <c r="W47" i="1"/>
  <c r="W48" i="1"/>
  <c r="W49" i="1"/>
  <c r="W50" i="1"/>
  <c r="W51" i="1"/>
  <c r="W52" i="1"/>
  <c r="W53" i="1"/>
  <c r="W54" i="1"/>
  <c r="V54" i="1" s="1"/>
  <c r="W55" i="1"/>
  <c r="V55" i="1" s="1"/>
  <c r="W56" i="1"/>
  <c r="V56" i="1" s="1"/>
  <c r="W57" i="1"/>
  <c r="W58" i="1"/>
  <c r="W59" i="1"/>
  <c r="W60" i="1"/>
  <c r="W61" i="1"/>
  <c r="W62" i="1"/>
  <c r="W63" i="1"/>
  <c r="W64" i="1"/>
  <c r="W65" i="1"/>
  <c r="V65" i="1" s="1"/>
  <c r="W66" i="1"/>
  <c r="V66" i="1" s="1"/>
  <c r="W67" i="1"/>
  <c r="V67" i="1" s="1"/>
  <c r="W68" i="1"/>
  <c r="V68" i="1" s="1"/>
  <c r="W69" i="1"/>
  <c r="V69" i="1" s="1"/>
  <c r="W70" i="1"/>
  <c r="W71" i="1"/>
  <c r="W72" i="1"/>
  <c r="W73" i="1"/>
  <c r="W74" i="1"/>
  <c r="W75" i="1"/>
  <c r="W76" i="1"/>
  <c r="W77" i="1"/>
  <c r="W78" i="1"/>
  <c r="V78" i="1" s="1"/>
  <c r="W79" i="1"/>
  <c r="V79" i="1" s="1"/>
  <c r="W80" i="1"/>
  <c r="V80" i="1" s="1"/>
  <c r="W81" i="1"/>
  <c r="V81" i="1" s="1"/>
  <c r="W82" i="1"/>
  <c r="W83" i="1"/>
  <c r="W84" i="1"/>
  <c r="W85" i="1"/>
  <c r="W86" i="1"/>
  <c r="W87" i="1"/>
  <c r="W88" i="1"/>
  <c r="W89" i="1"/>
  <c r="V89" i="1" s="1"/>
  <c r="W90" i="1"/>
  <c r="V90" i="1" s="1"/>
  <c r="W91" i="1"/>
  <c r="V91" i="1" s="1"/>
  <c r="W92" i="1"/>
  <c r="V92" i="1" s="1"/>
  <c r="W93" i="1"/>
  <c r="V93" i="1" s="1"/>
  <c r="W94" i="1"/>
  <c r="W95" i="1"/>
  <c r="W96" i="1"/>
  <c r="W97" i="1"/>
  <c r="W98" i="1"/>
  <c r="W99" i="1"/>
  <c r="W100" i="1"/>
  <c r="W101" i="1"/>
  <c r="V101" i="1" s="1"/>
  <c r="W102" i="1"/>
  <c r="V102" i="1" s="1"/>
  <c r="W103" i="1"/>
  <c r="V103" i="1" s="1"/>
  <c r="W104" i="1"/>
  <c r="V104" i="1" s="1"/>
  <c r="W105" i="1"/>
  <c r="W106" i="1"/>
  <c r="W107" i="1"/>
  <c r="W108" i="1"/>
  <c r="W109" i="1"/>
  <c r="W110" i="1"/>
  <c r="W111" i="1"/>
  <c r="W112" i="1"/>
  <c r="W113" i="1"/>
  <c r="V113" i="1" s="1"/>
  <c r="W114" i="1"/>
  <c r="V114" i="1" s="1"/>
  <c r="W115" i="1"/>
  <c r="V115" i="1" s="1"/>
  <c r="W116" i="1"/>
  <c r="V116" i="1" s="1"/>
  <c r="W117" i="1"/>
  <c r="V117" i="1" s="1"/>
  <c r="W118" i="1"/>
  <c r="W119" i="1"/>
  <c r="W120" i="1"/>
  <c r="W121" i="1"/>
  <c r="W122" i="1"/>
  <c r="W123" i="1"/>
  <c r="W124" i="1"/>
  <c r="W125" i="1"/>
  <c r="V125" i="1" s="1"/>
  <c r="W126" i="1"/>
  <c r="V126" i="1" s="1"/>
  <c r="W127" i="1"/>
  <c r="V127" i="1" s="1"/>
  <c r="W128" i="1"/>
  <c r="V128" i="1" s="1"/>
  <c r="W129" i="1"/>
  <c r="V129" i="1" s="1"/>
  <c r="W130" i="1"/>
  <c r="W131" i="1"/>
  <c r="W132" i="1"/>
  <c r="W133" i="1"/>
  <c r="W134" i="1"/>
  <c r="W135" i="1"/>
  <c r="W136" i="1"/>
  <c r="W137" i="1"/>
  <c r="V137" i="1" s="1"/>
  <c r="W138" i="1"/>
  <c r="V138" i="1" s="1"/>
  <c r="W139" i="1"/>
  <c r="V139" i="1" s="1"/>
  <c r="W140" i="1"/>
  <c r="V140" i="1" s="1"/>
  <c r="W141" i="1"/>
  <c r="V141" i="1" s="1"/>
  <c r="W142" i="1"/>
  <c r="W143" i="1"/>
  <c r="W144" i="1"/>
  <c r="W145" i="1"/>
  <c r="W146" i="1"/>
  <c r="W147" i="1"/>
  <c r="W148" i="1"/>
  <c r="W149" i="1"/>
  <c r="V149" i="1" s="1"/>
  <c r="W150" i="1"/>
  <c r="V150" i="1" s="1"/>
  <c r="W151" i="1"/>
  <c r="V151" i="1" s="1"/>
  <c r="W152" i="1"/>
  <c r="V152" i="1" s="1"/>
  <c r="W153" i="1"/>
  <c r="V153" i="1" s="1"/>
  <c r="W154" i="1"/>
  <c r="W155" i="1"/>
  <c r="W156" i="1"/>
  <c r="W157" i="1"/>
  <c r="W158" i="1"/>
  <c r="W159" i="1"/>
  <c r="W160" i="1"/>
  <c r="W161" i="1"/>
  <c r="V161" i="1" s="1"/>
  <c r="W162" i="1"/>
  <c r="V162" i="1" s="1"/>
  <c r="W163" i="1"/>
  <c r="V163" i="1" s="1"/>
  <c r="W164" i="1"/>
  <c r="V164" i="1" s="1"/>
  <c r="W165" i="1"/>
  <c r="V165" i="1" s="1"/>
  <c r="W166" i="1"/>
  <c r="W167" i="1"/>
  <c r="W168" i="1"/>
  <c r="W169" i="1"/>
  <c r="W170" i="1"/>
  <c r="W171" i="1"/>
  <c r="W172" i="1"/>
  <c r="W173" i="1"/>
  <c r="V173" i="1" s="1"/>
  <c r="W174" i="1"/>
  <c r="V174" i="1" s="1"/>
  <c r="W175" i="1"/>
  <c r="V175" i="1" s="1"/>
  <c r="W176" i="1"/>
  <c r="V176" i="1" s="1"/>
  <c r="W177" i="1"/>
  <c r="V177" i="1" s="1"/>
  <c r="W178" i="1"/>
  <c r="W179" i="1"/>
  <c r="W180" i="1"/>
  <c r="W181" i="1"/>
  <c r="W182" i="1"/>
  <c r="W183" i="1"/>
  <c r="W184" i="1"/>
  <c r="W185" i="1"/>
  <c r="V185" i="1" s="1"/>
  <c r="W186" i="1"/>
  <c r="V186" i="1" s="1"/>
  <c r="W187" i="1"/>
  <c r="V187" i="1" s="1"/>
  <c r="W188" i="1"/>
  <c r="V188" i="1" s="1"/>
  <c r="W189" i="1"/>
  <c r="V189" i="1" s="1"/>
  <c r="W190" i="1"/>
  <c r="W191" i="1"/>
  <c r="W192" i="1"/>
  <c r="W193" i="1"/>
  <c r="W194" i="1"/>
  <c r="W195" i="1"/>
  <c r="W196" i="1"/>
  <c r="W197" i="1"/>
  <c r="V197" i="1" s="1"/>
  <c r="W198" i="1"/>
  <c r="V198" i="1" s="1"/>
  <c r="W199" i="1"/>
  <c r="V199" i="1" s="1"/>
  <c r="W200" i="1"/>
  <c r="V200" i="1" s="1"/>
  <c r="W201" i="1"/>
  <c r="V201" i="1" s="1"/>
  <c r="W202" i="1"/>
  <c r="W203" i="1"/>
  <c r="W204" i="1"/>
  <c r="W205" i="1"/>
  <c r="W206" i="1"/>
  <c r="W207" i="1"/>
  <c r="W208" i="1"/>
  <c r="W209" i="1"/>
  <c r="V209" i="1" s="1"/>
  <c r="W210" i="1"/>
  <c r="V210" i="1" s="1"/>
  <c r="W211" i="1"/>
  <c r="V211" i="1" s="1"/>
  <c r="W212" i="1"/>
  <c r="V212" i="1" s="1"/>
  <c r="W213" i="1"/>
  <c r="V213" i="1" s="1"/>
  <c r="W214" i="1"/>
  <c r="W215" i="1"/>
  <c r="W216" i="1"/>
  <c r="W217" i="1"/>
  <c r="W218" i="1"/>
  <c r="W219" i="1"/>
  <c r="W220" i="1"/>
  <c r="W221" i="1"/>
  <c r="V221" i="1" s="1"/>
  <c r="W222" i="1"/>
  <c r="V222" i="1" s="1"/>
  <c r="W223" i="1"/>
  <c r="V223" i="1" s="1"/>
  <c r="W224" i="1"/>
  <c r="V224" i="1" s="1"/>
  <c r="W225" i="1"/>
  <c r="V225" i="1" s="1"/>
  <c r="W226" i="1"/>
  <c r="W227" i="1"/>
  <c r="W228" i="1"/>
  <c r="W229" i="1"/>
  <c r="W230" i="1"/>
  <c r="W231" i="1"/>
  <c r="W232" i="1"/>
  <c r="W233" i="1"/>
  <c r="V233" i="1" s="1"/>
  <c r="W234" i="1"/>
  <c r="V234" i="1" s="1"/>
  <c r="W235" i="1"/>
  <c r="V235" i="1" s="1"/>
  <c r="W236" i="1"/>
  <c r="V236" i="1" s="1"/>
  <c r="W237" i="1"/>
  <c r="V237" i="1" s="1"/>
  <c r="W238" i="1"/>
  <c r="W239" i="1"/>
  <c r="W240" i="1"/>
  <c r="W241" i="1"/>
  <c r="W242" i="1"/>
  <c r="W243" i="1"/>
  <c r="W244" i="1"/>
  <c r="W245" i="1"/>
  <c r="V245" i="1" s="1"/>
  <c r="W246" i="1"/>
  <c r="V246" i="1" s="1"/>
  <c r="W247" i="1"/>
  <c r="V247" i="1" s="1"/>
  <c r="W248" i="1"/>
  <c r="V248" i="1" s="1"/>
  <c r="W249" i="1"/>
  <c r="V249" i="1" s="1"/>
  <c r="W250" i="1"/>
  <c r="W251" i="1"/>
  <c r="W252" i="1"/>
  <c r="W253" i="1"/>
  <c r="W254" i="1"/>
  <c r="W255" i="1"/>
  <c r="W256" i="1"/>
  <c r="W257" i="1"/>
  <c r="V257" i="1" s="1"/>
  <c r="W258" i="1"/>
  <c r="V258" i="1" s="1"/>
  <c r="W259" i="1"/>
  <c r="V259" i="1" s="1"/>
  <c r="W260" i="1"/>
  <c r="V260" i="1" s="1"/>
  <c r="W261" i="1"/>
  <c r="V261" i="1" s="1"/>
  <c r="W262" i="1"/>
  <c r="W263" i="1"/>
  <c r="W264" i="1"/>
  <c r="W265" i="1"/>
  <c r="W266" i="1"/>
  <c r="W267" i="1"/>
  <c r="W268" i="1"/>
  <c r="W269" i="1"/>
  <c r="V269" i="1" s="1"/>
  <c r="W270" i="1"/>
  <c r="V270" i="1" s="1"/>
  <c r="W271" i="1"/>
  <c r="V271" i="1" s="1"/>
  <c r="W272" i="1"/>
  <c r="V272" i="1" s="1"/>
  <c r="W273" i="1"/>
  <c r="V273" i="1" s="1"/>
  <c r="W274" i="1"/>
  <c r="W275" i="1"/>
  <c r="W276" i="1"/>
  <c r="W277" i="1"/>
  <c r="W278" i="1"/>
  <c r="W279" i="1"/>
  <c r="W280" i="1"/>
  <c r="W281" i="1"/>
  <c r="V281" i="1" s="1"/>
  <c r="W282" i="1"/>
  <c r="V282" i="1" s="1"/>
  <c r="W283" i="1"/>
  <c r="V283" i="1" s="1"/>
  <c r="W284" i="1"/>
  <c r="V284" i="1" s="1"/>
  <c r="W285" i="1"/>
  <c r="V285" i="1" s="1"/>
  <c r="W286" i="1"/>
  <c r="W287" i="1"/>
  <c r="W288" i="1"/>
  <c r="W289" i="1"/>
  <c r="W290" i="1"/>
  <c r="W291" i="1"/>
  <c r="W292" i="1"/>
  <c r="W293" i="1"/>
  <c r="V293" i="1" s="1"/>
  <c r="W294" i="1"/>
  <c r="V294" i="1" s="1"/>
  <c r="W295" i="1"/>
  <c r="V295" i="1" s="1"/>
  <c r="W296" i="1"/>
  <c r="V296" i="1" s="1"/>
  <c r="W297" i="1"/>
  <c r="V297" i="1" s="1"/>
  <c r="W298" i="1"/>
  <c r="W299" i="1"/>
  <c r="W300" i="1"/>
  <c r="W301" i="1"/>
  <c r="W302" i="1"/>
  <c r="W303" i="1"/>
  <c r="W304" i="1"/>
  <c r="W305" i="1"/>
  <c r="V305" i="1" s="1"/>
  <c r="W306" i="1"/>
  <c r="V306" i="1" s="1"/>
  <c r="W307" i="1"/>
  <c r="V307" i="1" s="1"/>
  <c r="W308" i="1"/>
  <c r="V308" i="1" s="1"/>
  <c r="W309" i="1"/>
  <c r="V309" i="1" s="1"/>
  <c r="W310" i="1"/>
  <c r="W311" i="1"/>
  <c r="W312" i="1"/>
  <c r="W313" i="1"/>
  <c r="W314" i="1"/>
  <c r="W315" i="1"/>
  <c r="W316" i="1"/>
  <c r="W317" i="1"/>
  <c r="V317" i="1" s="1"/>
  <c r="W318" i="1"/>
  <c r="V318" i="1" s="1"/>
  <c r="W319" i="1"/>
  <c r="V319" i="1" s="1"/>
  <c r="W320" i="1"/>
  <c r="V320" i="1" s="1"/>
  <c r="W321" i="1"/>
  <c r="V321" i="1" s="1"/>
  <c r="W322" i="1"/>
  <c r="W323" i="1"/>
  <c r="W324" i="1"/>
  <c r="W325" i="1"/>
  <c r="W326" i="1"/>
  <c r="W327" i="1"/>
  <c r="W328" i="1"/>
  <c r="W329" i="1"/>
  <c r="V329" i="1" s="1"/>
  <c r="W330" i="1"/>
  <c r="V330" i="1" s="1"/>
  <c r="W331" i="1"/>
  <c r="V331" i="1" s="1"/>
  <c r="W332" i="1"/>
  <c r="V332" i="1" s="1"/>
  <c r="W333" i="1"/>
  <c r="V333" i="1" s="1"/>
  <c r="W334" i="1"/>
  <c r="W335" i="1"/>
  <c r="W336" i="1"/>
  <c r="W337" i="1"/>
  <c r="W338" i="1"/>
  <c r="W339" i="1"/>
  <c r="W340" i="1"/>
  <c r="W341" i="1"/>
  <c r="V341" i="1" s="1"/>
  <c r="W342" i="1"/>
  <c r="V342" i="1" s="1"/>
  <c r="W343" i="1"/>
  <c r="V343" i="1" s="1"/>
  <c r="W344" i="1"/>
  <c r="V344" i="1" s="1"/>
  <c r="W345" i="1"/>
  <c r="V345" i="1" s="1"/>
  <c r="W346" i="1"/>
  <c r="W347" i="1"/>
  <c r="W348" i="1"/>
  <c r="W349" i="1"/>
  <c r="W350" i="1"/>
  <c r="W351" i="1"/>
  <c r="W352" i="1"/>
  <c r="W353" i="1"/>
  <c r="V353" i="1" s="1"/>
  <c r="W354" i="1"/>
  <c r="V354" i="1" s="1"/>
  <c r="W355" i="1"/>
  <c r="V355" i="1" s="1"/>
  <c r="W356" i="1"/>
  <c r="V356" i="1" s="1"/>
  <c r="W357" i="1"/>
  <c r="V357" i="1" s="1"/>
  <c r="W358" i="1"/>
  <c r="W359" i="1"/>
  <c r="W360" i="1"/>
  <c r="W361" i="1"/>
  <c r="W362" i="1"/>
  <c r="W363" i="1"/>
  <c r="W364" i="1"/>
  <c r="W365" i="1"/>
  <c r="V365" i="1" s="1"/>
  <c r="W366" i="1"/>
  <c r="V366" i="1" s="1"/>
  <c r="W367" i="1"/>
  <c r="V367" i="1" s="1"/>
  <c r="W368" i="1"/>
  <c r="V368" i="1" s="1"/>
  <c r="W369" i="1"/>
  <c r="W370" i="1"/>
  <c r="W371" i="1"/>
  <c r="W372" i="1"/>
  <c r="W373" i="1"/>
  <c r="W374" i="1"/>
  <c r="W375" i="1"/>
  <c r="W376" i="1"/>
  <c r="W377" i="1"/>
  <c r="V377" i="1" s="1"/>
  <c r="W378" i="1"/>
  <c r="V378" i="1" s="1"/>
  <c r="W379" i="1"/>
  <c r="V379" i="1" s="1"/>
  <c r="W380" i="1"/>
  <c r="V380" i="1" s="1"/>
  <c r="W381" i="1"/>
  <c r="V381" i="1" s="1"/>
  <c r="W382" i="1"/>
  <c r="W383" i="1"/>
  <c r="W384" i="1"/>
  <c r="W385" i="1"/>
  <c r="W386" i="1"/>
  <c r="W387" i="1"/>
  <c r="W388" i="1"/>
  <c r="W389" i="1"/>
  <c r="V389" i="1" s="1"/>
  <c r="W390" i="1"/>
  <c r="V390" i="1" s="1"/>
  <c r="W391" i="1"/>
  <c r="V391" i="1" s="1"/>
  <c r="W392" i="1"/>
  <c r="V392" i="1" s="1"/>
  <c r="W393" i="1"/>
  <c r="V393" i="1" s="1"/>
  <c r="W394" i="1"/>
  <c r="W395" i="1"/>
  <c r="W396" i="1"/>
  <c r="W397" i="1"/>
  <c r="W398" i="1"/>
  <c r="W399" i="1"/>
  <c r="W400" i="1"/>
  <c r="W401" i="1"/>
  <c r="V401" i="1" s="1"/>
  <c r="W402" i="1"/>
  <c r="V402" i="1" s="1"/>
  <c r="W403" i="1"/>
  <c r="V403" i="1" s="1"/>
  <c r="W404" i="1"/>
  <c r="V404" i="1" s="1"/>
  <c r="W405" i="1"/>
  <c r="V405" i="1" s="1"/>
  <c r="W406" i="1"/>
  <c r="W407" i="1"/>
  <c r="W408" i="1"/>
  <c r="W409" i="1"/>
  <c r="W410" i="1"/>
  <c r="W411" i="1"/>
  <c r="W412" i="1"/>
  <c r="W413" i="1"/>
  <c r="V413" i="1" s="1"/>
  <c r="W414" i="1"/>
  <c r="V414" i="1" s="1"/>
  <c r="W415" i="1"/>
  <c r="V415" i="1" s="1"/>
  <c r="W416" i="1"/>
  <c r="V416" i="1" s="1"/>
  <c r="W417" i="1"/>
  <c r="V417" i="1" s="1"/>
  <c r="W418" i="1"/>
  <c r="W419" i="1"/>
  <c r="W420" i="1"/>
  <c r="W421" i="1"/>
  <c r="W422" i="1"/>
  <c r="W423" i="1"/>
  <c r="W424" i="1"/>
  <c r="W425" i="1"/>
  <c r="V425" i="1" s="1"/>
  <c r="W426" i="1"/>
  <c r="V426" i="1" s="1"/>
  <c r="W427" i="1"/>
  <c r="V427" i="1" s="1"/>
  <c r="W428" i="1"/>
  <c r="V428" i="1" s="1"/>
  <c r="W429" i="1"/>
  <c r="V429" i="1" s="1"/>
  <c r="W430" i="1"/>
  <c r="W431" i="1"/>
  <c r="W432" i="1"/>
  <c r="W433" i="1"/>
  <c r="W434" i="1"/>
  <c r="W435" i="1"/>
  <c r="W436" i="1"/>
  <c r="W437" i="1"/>
  <c r="V437" i="1" s="1"/>
  <c r="W438" i="1"/>
  <c r="V438" i="1" s="1"/>
  <c r="W439" i="1"/>
  <c r="V439" i="1" s="1"/>
  <c r="W440" i="1"/>
  <c r="V440" i="1" s="1"/>
  <c r="W441" i="1"/>
  <c r="V441" i="1" s="1"/>
  <c r="W442" i="1"/>
  <c r="W443" i="1"/>
  <c r="W444" i="1"/>
  <c r="W445" i="1"/>
  <c r="W446" i="1"/>
  <c r="W447" i="1"/>
  <c r="W448" i="1"/>
  <c r="W449" i="1"/>
  <c r="V449" i="1" s="1"/>
  <c r="W450" i="1"/>
  <c r="V450" i="1" s="1"/>
  <c r="W451" i="1"/>
  <c r="V451" i="1" s="1"/>
  <c r="W452" i="1"/>
  <c r="V452" i="1" s="1"/>
  <c r="W453" i="1"/>
  <c r="V453" i="1" s="1"/>
  <c r="W454" i="1"/>
  <c r="W455" i="1"/>
  <c r="W456" i="1"/>
  <c r="W457" i="1"/>
  <c r="W458" i="1"/>
  <c r="W459" i="1"/>
  <c r="W460" i="1"/>
  <c r="W461" i="1"/>
  <c r="V461" i="1" s="1"/>
  <c r="W462" i="1"/>
  <c r="V462" i="1" s="1"/>
  <c r="W463" i="1"/>
  <c r="V463" i="1" s="1"/>
  <c r="W464" i="1"/>
  <c r="V464" i="1" s="1"/>
  <c r="W465" i="1"/>
  <c r="W466" i="1"/>
  <c r="W467" i="1"/>
  <c r="W468" i="1"/>
  <c r="W469" i="1"/>
  <c r="W470" i="1"/>
  <c r="W471" i="1"/>
  <c r="W472" i="1"/>
  <c r="W473" i="1"/>
  <c r="V473" i="1" s="1"/>
  <c r="W474" i="1"/>
  <c r="V474" i="1" s="1"/>
  <c r="W475" i="1"/>
  <c r="V475" i="1" s="1"/>
  <c r="W476" i="1"/>
  <c r="V476" i="1" s="1"/>
  <c r="W2" i="1"/>
  <c r="V2"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V145" i="1" l="1"/>
  <c r="V397" i="1"/>
  <c r="V369" i="1"/>
  <c r="V146" i="1"/>
  <c r="V469" i="1"/>
  <c r="V181" i="1"/>
  <c r="V465" i="1"/>
  <c r="V467" i="1"/>
  <c r="V466" i="1"/>
  <c r="V370" i="1"/>
  <c r="V334" i="1"/>
  <c r="V105" i="1"/>
  <c r="V57" i="1"/>
  <c r="V468" i="1"/>
  <c r="V456" i="1"/>
  <c r="V444" i="1"/>
  <c r="V432" i="1"/>
  <c r="V420" i="1"/>
  <c r="V408" i="1"/>
  <c r="V396" i="1"/>
  <c r="V384" i="1"/>
  <c r="V372" i="1"/>
  <c r="V360" i="1"/>
  <c r="V348" i="1"/>
  <c r="V336" i="1"/>
  <c r="V324" i="1"/>
  <c r="V312" i="1"/>
  <c r="V300" i="1"/>
  <c r="V288" i="1"/>
  <c r="V276" i="1"/>
  <c r="V264" i="1"/>
  <c r="V252" i="1"/>
  <c r="V240" i="1"/>
  <c r="V228" i="1"/>
  <c r="V216" i="1"/>
  <c r="V204" i="1"/>
  <c r="V192" i="1"/>
  <c r="V180" i="1"/>
  <c r="V168" i="1"/>
  <c r="V156" i="1"/>
  <c r="V144" i="1"/>
  <c r="V132" i="1"/>
  <c r="V120" i="1"/>
  <c r="V108" i="1"/>
  <c r="V96" i="1"/>
  <c r="V84" i="1"/>
  <c r="V72" i="1"/>
  <c r="V60" i="1"/>
  <c r="V48" i="1"/>
  <c r="V36" i="1"/>
  <c r="V24" i="1"/>
  <c r="V12" i="1"/>
  <c r="V455" i="1"/>
  <c r="V443" i="1"/>
  <c r="V431" i="1"/>
  <c r="V419" i="1"/>
  <c r="V407" i="1"/>
  <c r="V395" i="1"/>
  <c r="V383" i="1"/>
  <c r="V371" i="1"/>
  <c r="V359" i="1"/>
  <c r="V347" i="1"/>
  <c r="V335" i="1"/>
  <c r="V323" i="1"/>
  <c r="V311" i="1"/>
  <c r="V299" i="1"/>
  <c r="V287" i="1"/>
  <c r="V275" i="1"/>
  <c r="V263" i="1"/>
  <c r="V251" i="1"/>
  <c r="V239" i="1"/>
  <c r="V227" i="1"/>
  <c r="V215" i="1"/>
  <c r="V203" i="1"/>
  <c r="V191" i="1"/>
  <c r="V179" i="1"/>
  <c r="V167" i="1"/>
  <c r="V155" i="1"/>
  <c r="V143" i="1"/>
  <c r="V131" i="1"/>
  <c r="V119" i="1"/>
  <c r="V107" i="1"/>
  <c r="V95" i="1"/>
  <c r="V83" i="1"/>
  <c r="V71" i="1"/>
  <c r="V59" i="1"/>
  <c r="V47" i="1"/>
  <c r="V35" i="1"/>
  <c r="V23" i="1"/>
  <c r="V11" i="1"/>
  <c r="V454" i="1"/>
  <c r="V442" i="1"/>
  <c r="V430" i="1"/>
  <c r="V418" i="1"/>
  <c r="V406" i="1"/>
  <c r="V394" i="1"/>
  <c r="V382" i="1"/>
  <c r="V358" i="1"/>
  <c r="V346" i="1"/>
  <c r="V322" i="1"/>
  <c r="V310" i="1"/>
  <c r="V298" i="1"/>
  <c r="V286" i="1"/>
  <c r="V274" i="1"/>
  <c r="V262" i="1"/>
  <c r="V250" i="1"/>
  <c r="V238" i="1"/>
  <c r="V226" i="1"/>
  <c r="V214" i="1"/>
  <c r="V202" i="1"/>
  <c r="V190" i="1"/>
  <c r="V178" i="1"/>
  <c r="V166" i="1"/>
  <c r="V154" i="1"/>
  <c r="V142" i="1"/>
  <c r="V130" i="1"/>
  <c r="V118" i="1"/>
  <c r="V106" i="1"/>
  <c r="V94" i="1"/>
  <c r="V82" i="1"/>
  <c r="V70" i="1"/>
  <c r="V58" i="1"/>
  <c r="V46" i="1"/>
  <c r="V34" i="1"/>
  <c r="V22" i="1"/>
  <c r="V10" i="1"/>
  <c r="V41" i="1"/>
  <c r="V17" i="1"/>
  <c r="V460" i="1"/>
  <c r="V448" i="1"/>
  <c r="V424" i="1"/>
  <c r="V400" i="1"/>
  <c r="V376" i="1"/>
  <c r="V352" i="1"/>
  <c r="V328" i="1"/>
  <c r="V304" i="1"/>
  <c r="V280" i="1"/>
  <c r="V244" i="1"/>
  <c r="V220" i="1"/>
  <c r="V208" i="1"/>
  <c r="V184" i="1"/>
  <c r="V160" i="1"/>
  <c r="V136" i="1"/>
  <c r="V112" i="1"/>
  <c r="V88" i="1"/>
  <c r="V64" i="1"/>
  <c r="V40" i="1"/>
  <c r="V16" i="1"/>
  <c r="V459" i="1"/>
  <c r="V435" i="1"/>
  <c r="V411" i="1"/>
  <c r="V387" i="1"/>
  <c r="V363" i="1"/>
  <c r="V339" i="1"/>
  <c r="V315" i="1"/>
  <c r="V291" i="1"/>
  <c r="V279" i="1"/>
  <c r="V255" i="1"/>
  <c r="V231" i="1"/>
  <c r="V207" i="1"/>
  <c r="V171" i="1"/>
  <c r="V147" i="1"/>
  <c r="V135" i="1"/>
  <c r="V111" i="1"/>
  <c r="V87" i="1"/>
  <c r="V63" i="1"/>
  <c r="V39" i="1"/>
  <c r="V15" i="1"/>
  <c r="V470" i="1"/>
  <c r="V458" i="1"/>
  <c r="V446" i="1"/>
  <c r="V434" i="1"/>
  <c r="V422" i="1"/>
  <c r="V410" i="1"/>
  <c r="V398" i="1"/>
  <c r="V386" i="1"/>
  <c r="V374" i="1"/>
  <c r="V362" i="1"/>
  <c r="V350" i="1"/>
  <c r="V338" i="1"/>
  <c r="V326" i="1"/>
  <c r="V314" i="1"/>
  <c r="V302" i="1"/>
  <c r="V290" i="1"/>
  <c r="V278" i="1"/>
  <c r="V266" i="1"/>
  <c r="V254" i="1"/>
  <c r="V242" i="1"/>
  <c r="V230" i="1"/>
  <c r="V218" i="1"/>
  <c r="V206" i="1"/>
  <c r="V194" i="1"/>
  <c r="V182" i="1"/>
  <c r="V170" i="1"/>
  <c r="V158" i="1"/>
  <c r="V134" i="1"/>
  <c r="V122" i="1"/>
  <c r="V110" i="1"/>
  <c r="V98" i="1"/>
  <c r="V86" i="1"/>
  <c r="V74" i="1"/>
  <c r="V62" i="1"/>
  <c r="V50" i="1"/>
  <c r="V38" i="1"/>
  <c r="V26" i="1"/>
  <c r="V14" i="1"/>
  <c r="V77" i="1"/>
  <c r="V53" i="1"/>
  <c r="V29" i="1"/>
  <c r="V5" i="1"/>
  <c r="V472" i="1"/>
  <c r="V436" i="1"/>
  <c r="V412" i="1"/>
  <c r="V388" i="1"/>
  <c r="V364" i="1"/>
  <c r="V340" i="1"/>
  <c r="V316" i="1"/>
  <c r="V292" i="1"/>
  <c r="V268" i="1"/>
  <c r="V256" i="1"/>
  <c r="V232" i="1"/>
  <c r="V196" i="1"/>
  <c r="V172" i="1"/>
  <c r="V148" i="1"/>
  <c r="V124" i="1"/>
  <c r="V100" i="1"/>
  <c r="V76" i="1"/>
  <c r="V52" i="1"/>
  <c r="V28" i="1"/>
  <c r="V4" i="1"/>
  <c r="V471" i="1"/>
  <c r="V447" i="1"/>
  <c r="V423" i="1"/>
  <c r="V399" i="1"/>
  <c r="V375" i="1"/>
  <c r="V351" i="1"/>
  <c r="V327" i="1"/>
  <c r="V303" i="1"/>
  <c r="V267" i="1"/>
  <c r="V243" i="1"/>
  <c r="V219" i="1"/>
  <c r="V195" i="1"/>
  <c r="V183" i="1"/>
  <c r="V159" i="1"/>
  <c r="V123" i="1"/>
  <c r="V99" i="1"/>
  <c r="V75" i="1"/>
  <c r="V51" i="1"/>
  <c r="V27" i="1"/>
  <c r="V3" i="1"/>
  <c r="V457" i="1"/>
  <c r="V445" i="1"/>
  <c r="V433" i="1"/>
  <c r="V421" i="1"/>
  <c r="V409" i="1"/>
  <c r="V385" i="1"/>
  <c r="V373" i="1"/>
  <c r="V361" i="1"/>
  <c r="V349" i="1"/>
  <c r="V337" i="1"/>
  <c r="V325" i="1"/>
  <c r="V313" i="1"/>
  <c r="V301" i="1"/>
  <c r="V289" i="1"/>
  <c r="V277" i="1"/>
  <c r="V265" i="1"/>
  <c r="V253" i="1"/>
  <c r="V241" i="1"/>
  <c r="V229" i="1"/>
  <c r="V217" i="1"/>
  <c r="V205" i="1"/>
  <c r="V193" i="1"/>
  <c r="V169" i="1"/>
  <c r="V157" i="1"/>
  <c r="V133" i="1"/>
  <c r="V121" i="1"/>
  <c r="V109" i="1"/>
  <c r="V97" i="1"/>
  <c r="V85" i="1"/>
  <c r="V73" i="1"/>
  <c r="V61" i="1"/>
  <c r="V49" i="1"/>
  <c r="V37" i="1"/>
  <c r="V25" i="1"/>
  <c r="V13" i="1"/>
</calcChain>
</file>

<file path=xl/sharedStrings.xml><?xml version="1.0" encoding="utf-8"?>
<sst xmlns="http://schemas.openxmlformats.org/spreadsheetml/2006/main" count="9369" uniqueCount="1828">
  <si>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</si>
  <si>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</si>
  <si>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</si>
  <si>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</si>
  <si>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</si>
  <si>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</si>
  <si>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</si>
  <si>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</si>
  <si>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</si>
  <si>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</si>
  <si>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</si>
  <si>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</si>
  <si>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</si>
  <si>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</si>
  <si>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</si>
  <si>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</si>
  <si>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</si>
  <si>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</si>
  <si>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</si>
  <si>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</si>
  <si>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</si>
  <si>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</si>
  <si>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</si>
  <si>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</si>
  <si>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</si>
  <si>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</si>
  <si>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</si>
  <si>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</si>
  <si>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</si>
  <si>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</si>
  <si>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</si>
  <si>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</si>
  <si>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</si>
  <si>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</si>
  <si>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</si>
  <si>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</si>
  <si>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</si>
  <si>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</si>
  <si>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</si>
  <si>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</si>
  <si>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</si>
  <si>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</si>
  <si>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</si>
  <si>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</si>
  <si>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</si>
  <si>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</si>
  <si>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</si>
  <si>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</si>
  <si>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</si>
  <si>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</si>
  <si>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</si>
  <si>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</si>
  <si>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</si>
  <si>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</si>
  <si>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</si>
  <si>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</si>
  <si>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</si>
  <si>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</si>
  <si>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</si>
  <si>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</si>
  <si>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</si>
  <si>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</si>
  <si>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</si>
  <si>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</si>
  <si>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</si>
  <si>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</si>
  <si>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</si>
  <si>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</si>
  <si>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</si>
  <si>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</si>
  <si>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</si>
  <si>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</si>
  <si>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</si>
  <si>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</si>
  <si>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</si>
  <si>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</si>
  <si>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</si>
  <si>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</si>
  <si>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</si>
  <si>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</si>
  <si>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</si>
  <si>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</si>
  <si>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</si>
  <si>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</si>
  <si>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</si>
  <si>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</si>
  <si>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</si>
  <si>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</si>
  <si>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</si>
  <si>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</si>
  <si>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</si>
  <si>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</si>
  <si>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</si>
  <si>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</si>
  <si>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</si>
  <si>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</si>
  <si>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</si>
  <si>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</si>
  <si>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</si>
  <si>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</si>
  <si>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</si>
  <si>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</si>
  <si>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</si>
  <si>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</si>
  <si>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</si>
  <si>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</si>
  <si>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</si>
  <si>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</si>
  <si>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</si>
  <si>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</si>
  <si>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</si>
  <si>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</si>
  <si>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</si>
  <si>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</si>
  <si>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</si>
  <si>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</si>
  <si>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</si>
  <si>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</si>
  <si>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</si>
  <si>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</si>
  <si>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</si>
  <si>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</si>
  <si>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</si>
  <si>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</si>
  <si>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</si>
  <si>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</si>
  <si>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</si>
  <si>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</si>
  <si>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</si>
  <si>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</si>
  <si>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</si>
  <si>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</si>
  <si>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</si>
  <si>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</si>
  <si>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</si>
  <si>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</si>
  <si>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</si>
  <si>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</si>
  <si>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</si>
  <si>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</si>
  <si>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</si>
  <si>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</si>
  <si>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</si>
  <si>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</si>
  <si>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</si>
  <si>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</si>
  <si>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</si>
  <si>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</si>
  <si>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</si>
  <si>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</si>
  <si>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</si>
  <si>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</si>
  <si>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</si>
  <si>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</si>
  <si>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</si>
  <si>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</si>
  <si>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</si>
  <si>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</si>
  <si>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</si>
  <si>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</si>
  <si>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</si>
  <si>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</si>
  <si>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</si>
  <si>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</si>
  <si>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</si>
  <si>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</si>
  <si>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</si>
  <si>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</si>
  <si>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</si>
  <si>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</si>
  <si>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</si>
  <si>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</si>
  <si>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</si>
  <si>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</si>
  <si>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</si>
  <si>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</si>
  <si>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</si>
  <si>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</si>
  <si>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</si>
  <si>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</si>
  <si>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</si>
  <si>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</si>
  <si>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</si>
  <si>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</si>
  <si>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</si>
  <si>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</si>
  <si>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</si>
  <si>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</si>
  <si>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</si>
  <si>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</si>
  <si>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</si>
  <si>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</si>
  <si>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</si>
  <si>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</si>
  <si>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</si>
  <si>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</si>
  <si>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</si>
  <si>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</si>
  <si>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</si>
  <si>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</si>
  <si>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</si>
  <si>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</si>
  <si>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</si>
  <si>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</si>
  <si>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</si>
  <si>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</si>
  <si>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</si>
  <si>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</si>
  <si>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</si>
  <si>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</si>
  <si>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</si>
  <si>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</si>
  <si>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</si>
  <si>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</si>
  <si>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</si>
  <si>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</si>
  <si>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</si>
  <si>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</si>
  <si>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</si>
  <si>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</si>
  <si>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</si>
  <si>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</si>
  <si>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</si>
  <si>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</si>
  <si>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</si>
  <si>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</si>
  <si>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</si>
  <si>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</si>
  <si>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</si>
  <si>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</si>
  <si>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</si>
  <si>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</si>
  <si>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</si>
  <si>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</si>
  <si>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</si>
  <si>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</si>
  <si>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</si>
  <si>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</si>
  <si>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</si>
  <si>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</si>
  <si>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</si>
  <si>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</si>
  <si>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</si>
  <si>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</si>
  <si>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</si>
  <si>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</si>
  <si>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</si>
  <si>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</si>
  <si>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</si>
  <si>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</si>
  <si>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</si>
  <si>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</si>
  <si>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</si>
  <si>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</si>
  <si>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</si>
  <si>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</si>
  <si>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</si>
  <si>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</si>
  <si>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</si>
  <si>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</si>
  <si>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</si>
  <si>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</si>
  <si>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</si>
  <si>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</si>
  <si>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</si>
  <si>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</si>
  <si>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</si>
  <si>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</si>
  <si>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</si>
  <si>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</si>
  <si>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</si>
  <si>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</si>
  <si>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</si>
  <si>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</si>
  <si>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</si>
  <si>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</si>
  <si>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</si>
  <si>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</si>
  <si>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</si>
  <si>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</si>
  <si>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</si>
  <si>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</si>
  <si>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</si>
  <si>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</si>
  <si>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</si>
  <si>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</si>
  <si>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</si>
  <si>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</si>
  <si>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</si>
  <si>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</si>
  <si>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</si>
  <si>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</si>
  <si>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</si>
  <si>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</si>
  <si>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</si>
  <si>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</si>
  <si>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</si>
  <si>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</si>
  <si>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</si>
  <si>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</si>
  <si>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</si>
  <si>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</si>
  <si>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</si>
  <si>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</si>
  <si>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</si>
  <si>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</si>
  <si>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</si>
  <si>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</si>
  <si>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</si>
  <si>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</si>
  <si>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</si>
  <si>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</si>
  <si>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</si>
  <si>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</si>
  <si>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</si>
  <si>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</si>
  <si>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</si>
  <si>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</si>
  <si>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</si>
  <si>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</si>
  <si>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</si>
  <si>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</si>
  <si>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</si>
  <si>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</si>
  <si>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</si>
  <si>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</si>
  <si>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</si>
  <si>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</si>
  <si>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</si>
  <si>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</si>
  <si>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</si>
  <si>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</si>
  <si>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</si>
  <si>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</si>
  <si>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</si>
  <si>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</si>
  <si>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</si>
  <si>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</si>
  <si>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</si>
  <si>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</si>
  <si>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</si>
  <si>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</si>
  <si>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</si>
  <si>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</si>
  <si>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</si>
  <si>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</si>
  <si>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</si>
  <si>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</si>
  <si>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</si>
  <si>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</si>
  <si>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</si>
  <si>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</si>
  <si>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</si>
  <si>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</si>
  <si>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</si>
  <si>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</si>
  <si>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</si>
  <si>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</si>
  <si>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</si>
  <si>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</si>
  <si>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</si>
  <si>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</si>
  <si>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</si>
  <si>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</si>
  <si>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</si>
  <si>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</si>
  <si>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</si>
  <si>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</si>
  <si>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</si>
  <si>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</si>
  <si>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</si>
  <si>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</si>
  <si>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</si>
  <si>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</si>
  <si>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</si>
  <si>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</si>
  <si>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</si>
  <si>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</si>
  <si>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</si>
  <si>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</si>
  <si>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</si>
  <si>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</si>
  <si>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</si>
  <si>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</si>
  <si>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</si>
  <si>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</si>
  <si>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</si>
  <si>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</si>
  <si>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</si>
  <si>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</si>
  <si>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</si>
  <si>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</si>
  <si>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</si>
  <si>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</si>
  <si>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</si>
  <si>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</si>
  <si>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</si>
  <si>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</si>
  <si>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</si>
  <si>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</si>
  <si>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</si>
  <si>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</si>
  <si>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</si>
  <si>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</si>
  <si>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</si>
  <si>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</si>
  <si>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</si>
  <si>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</si>
  <si>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</si>
  <si>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</si>
  <si>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</si>
  <si>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</si>
  <si>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</si>
  <si>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</si>
  <si>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</si>
  <si>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</si>
  <si>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</si>
  <si>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</si>
  <si>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</si>
  <si>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</si>
  <si>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</si>
  <si>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</si>
  <si>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</si>
  <si>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</si>
  <si>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</si>
  <si>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</si>
  <si>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</si>
  <si>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</si>
  <si>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</si>
  <si>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</si>
  <si>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</si>
  <si>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</si>
  <si>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</si>
  <si>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</si>
  <si>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</si>
  <si>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</si>
  <si>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</si>
  <si>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</si>
  <si>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</si>
  <si>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</si>
  <si>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</si>
  <si>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</si>
  <si>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</si>
  <si>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</si>
  <si>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</si>
  <si>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</si>
  <si>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</si>
  <si>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</si>
  <si>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</si>
  <si>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</si>
  <si>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</si>
  <si>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</si>
  <si>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</si>
  <si>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</si>
  <si>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</si>
  <si>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</si>
  <si>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</si>
  <si>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</si>
  <si>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</si>
  <si>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</si>
  <si>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</si>
  <si>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</si>
  <si>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</si>
  <si>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</si>
  <si>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</si>
  <si>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</si>
  <si>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</si>
  <si>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</si>
  <si>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</si>
  <si>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</si>
  <si>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</si>
  <si>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</si>
  <si>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</si>
  <si>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</si>
  <si>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</si>
  <si>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</si>
  <si>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</si>
  <si>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</si>
  <si>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</si>
  <si>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</si>
  <si>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</si>
  <si>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</si>
  <si>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</si>
  <si>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</si>
  <si>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</si>
  <si>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</si>
  <si>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</si>
  <si>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</si>
  <si>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</si>
  <si>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</si>
  <si>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</si>
  <si>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</si>
  <si>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</si>
  <si>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</si>
  <si>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</si>
  <si>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</si>
  <si>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</si>
  <si>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</si>
  <si>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</si>
  <si>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</si>
  <si>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</si>
  <si>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</si>
  <si>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</si>
  <si>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</si>
  <si>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</si>
  <si>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</si>
  <si>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</si>
  <si>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</si>
  <si>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</si>
  <si>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</si>
  <si>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</si>
  <si>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</si>
  <si>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</si>
  <si>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</si>
  <si>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</si>
  <si>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</si>
  <si>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</si>
  <si>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</si>
  <si>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</si>
  <si>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</si>
  <si>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</si>
  <si>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</si>
  <si>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</si>
  <si>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</si>
  <si>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</si>
  <si>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</si>
  <si>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</si>
  <si>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</si>
  <si>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</si>
  <si>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</si>
  <si>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</si>
  <si>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</si>
  <si>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</si>
  <si>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</si>
  <si>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</si>
  <si>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</si>
  <si>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</si>
  <si>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</si>
  <si>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</si>
  <si>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</si>
  <si>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</si>
  <si>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</si>
  <si>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</si>
  <si>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</si>
  <si>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</si>
  <si>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</si>
  <si>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</si>
  <si>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</si>
  <si>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</si>
  <si>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</si>
  <si>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</si>
  <si>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</si>
  <si>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</si>
  <si>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</si>
  <si>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</si>
  <si>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</si>
  <si>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</si>
  <si>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</si>
  <si>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</si>
  <si>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</si>
  <si>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</si>
  <si>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</si>
  <si>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</si>
  <si>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</si>
  <si>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</si>
  <si>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</si>
  <si>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</si>
  <si>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</si>
  <si>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</si>
  <si>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</si>
  <si>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</si>
  <si>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</si>
  <si>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</si>
  <si>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</si>
  <si>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</si>
  <si>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</si>
  <si>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</si>
  <si>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</si>
  <si>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</si>
  <si>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</si>
  <si>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</si>
  <si>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</si>
  <si>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</si>
  <si>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</si>
  <si>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</si>
  <si>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</si>
  <si>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</si>
  <si>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</si>
  <si>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</si>
  <si>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</si>
  <si>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</si>
  <si>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</si>
  <si>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</si>
  <si>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</si>
  <si>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</si>
  <si>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</si>
  <si>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</si>
  <si>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</si>
  <si>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</si>
  <si>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</si>
  <si>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</si>
  <si>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</si>
  <si>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</si>
  <si>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</si>
  <si>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</si>
  <si>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</si>
  <si>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</si>
  <si>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</si>
  <si>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</si>
  <si>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</si>
  <si>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</si>
  <si>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</si>
  <si>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</si>
  <si>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</si>
  <si>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</si>
  <si>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</si>
  <si>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</si>
  <si>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</si>
  <si>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</si>
  <si>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</si>
  <si>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</si>
  <si>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</si>
  <si>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</si>
  <si>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</si>
  <si>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</si>
  <si>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</si>
  <si>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</si>
  <si>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</si>
  <si>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</si>
  <si>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</si>
  <si>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</si>
  <si>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</si>
  <si>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</si>
  <si>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</si>
  <si>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</si>
  <si>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</si>
  <si>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</si>
  <si>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</si>
  <si>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</si>
  <si>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</si>
  <si>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</si>
  <si>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</si>
  <si>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</si>
  <si>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</si>
  <si>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</si>
  <si>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</si>
  <si>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</si>
  <si>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</si>
  <si>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</si>
  <si>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</si>
  <si>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</si>
  <si>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</si>
  <si>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</si>
  <si>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</si>
  <si>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</si>
  <si>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</si>
  <si>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</si>
  <si>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</si>
  <si>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</si>
  <si>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</si>
  <si>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</si>
  <si>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</si>
  <si>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</si>
  <si>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</si>
  <si>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</si>
  <si>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</si>
  <si>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</si>
  <si>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</si>
  <si>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</si>
  <si>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</si>
  <si>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</si>
  <si>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</si>
  <si>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</si>
  <si>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</si>
  <si>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</si>
  <si>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</si>
  <si>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</si>
  <si>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</si>
  <si>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</si>
  <si>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</si>
  <si>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</si>
  <si>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</si>
  <si>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</si>
  <si>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</si>
  <si>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</si>
  <si>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</si>
  <si>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</si>
  <si>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</si>
  <si>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</si>
  <si>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</si>
  <si>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</si>
  <si>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</si>
  <si>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</si>
  <si>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</si>
  <si>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</si>
  <si>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</si>
  <si>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</si>
  <si>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</si>
  <si>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</si>
  <si>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</si>
  <si>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</si>
  <si>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</si>
  <si>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</si>
  <si>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</si>
  <si>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</si>
  <si>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</si>
  <si>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</si>
  <si>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</si>
  <si>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</si>
  <si>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</si>
  <si>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</si>
  <si>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</si>
  <si>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</si>
  <si>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</si>
  <si>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</si>
  <si>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</si>
  <si>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</si>
  <si>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</si>
  <si>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</si>
  <si>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</si>
  <si>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</si>
  <si>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</si>
  <si>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</si>
  <si>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</si>
  <si>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</si>
  <si>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</si>
  <si>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</si>
  <si>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</si>
  <si>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</si>
  <si>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</si>
  <si>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</si>
  <si>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</si>
  <si>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</si>
  <si>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</si>
  <si>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</si>
  <si>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</si>
  <si>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</si>
  <si>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</si>
  <si>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</si>
  <si>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</si>
  <si>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</si>
  <si>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</si>
  <si>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</si>
  <si>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</si>
  <si>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</si>
  <si>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</si>
  <si>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</si>
  <si>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</si>
  <si>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</si>
  <si>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</si>
  <si>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</si>
  <si>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</si>
  <si>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</si>
  <si>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</si>
  <si>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</si>
  <si>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</si>
  <si>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</si>
  <si>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</si>
  <si>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</si>
  <si>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</si>
  <si>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</si>
  <si>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</si>
  <si>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</si>
  <si>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</si>
  <si>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</si>
  <si>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</si>
  <si>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</si>
  <si>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</si>
  <si>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</si>
  <si>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</si>
  <si>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</si>
  <si>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</si>
  <si>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</si>
  <si>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</si>
  <si>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</si>
  <si>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</si>
  <si>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</si>
  <si>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</si>
  <si>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</si>
  <si>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</si>
  <si>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</si>
  <si>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</si>
  <si>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</si>
  <si>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</si>
  <si>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</si>
  <si>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</si>
  <si>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</si>
  <si>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</si>
  <si>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</si>
  <si>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</si>
  <si>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</si>
  <si>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</si>
  <si>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</si>
  <si>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</si>
  <si>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</si>
  <si>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</si>
  <si>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</si>
  <si>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</si>
  <si>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</si>
  <si>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</si>
  <si>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</si>
  <si>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</si>
  <si>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</si>
  <si>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</si>
  <si>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</si>
  <si>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</si>
  <si>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</si>
  <si>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</si>
  <si>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</si>
  <si>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</si>
  <si>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</si>
  <si>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</si>
  <si>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</si>
  <si>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</si>
  <si>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</si>
  <si>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</si>
  <si>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</si>
  <si>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</si>
  <si>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</si>
  <si>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</si>
  <si>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</si>
  <si>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</si>
  <si>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</si>
  <si>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</si>
  <si>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</si>
  <si>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</si>
  <si>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</si>
  <si>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</si>
  <si>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</si>
  <si>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</si>
  <si>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</si>
  <si>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</si>
  <si>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</si>
  <si>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</si>
  <si>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</si>
  <si>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</si>
  <si>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</si>
  <si>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</si>
  <si>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</si>
  <si>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</si>
  <si>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</si>
  <si>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</si>
  <si>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</si>
  <si>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</si>
  <si>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</si>
  <si>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</si>
  <si>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</si>
  <si>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</si>
  <si>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</si>
  <si>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</si>
  <si>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</si>
  <si>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</si>
  <si>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</si>
  <si>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</si>
  <si>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</si>
  <si>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</si>
  <si>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</si>
  <si>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</si>
  <si>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</si>
  <si>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</si>
  <si>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</si>
  <si>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</si>
  <si>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</si>
  <si>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</si>
  <si>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</si>
  <si>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</si>
  <si>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</si>
  <si>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</si>
  <si>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</si>
  <si>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</si>
  <si>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</si>
  <si>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</si>
  <si>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</si>
  <si>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</si>
  <si>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</si>
  <si>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</si>
  <si>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</si>
  <si>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</si>
  <si>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</si>
  <si>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</si>
  <si>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</si>
  <si>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</si>
  <si>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</si>
  <si>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</si>
  <si>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</si>
  <si>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</si>
  <si>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</si>
  <si>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</si>
  <si>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</si>
  <si>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</si>
  <si>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</si>
  <si>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</si>
  <si>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</si>
  <si>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</si>
  <si>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</si>
  <si>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</si>
  <si>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</si>
  <si>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</si>
  <si>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</si>
  <si>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</si>
  <si>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</si>
  <si>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</si>
  <si>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</si>
  <si>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</si>
  <si>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</si>
  <si>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</si>
  <si>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</si>
  <si>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</si>
  <si>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</si>
  <si>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</si>
  <si>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</si>
  <si>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</si>
  <si>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</si>
  <si>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</si>
  <si>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</si>
  <si>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</si>
  <si>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</si>
  <si>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</si>
  <si>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</si>
  <si>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</si>
  <si>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</si>
  <si>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</si>
  <si>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</si>
  <si>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</si>
  <si>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</si>
  <si>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</si>
  <si>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</si>
  <si>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</si>
  <si>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</si>
  <si>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</si>
  <si>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</si>
  <si>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</si>
  <si>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</si>
  <si>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</si>
  <si>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</si>
  <si>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</si>
  <si>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</si>
  <si>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</si>
  <si>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</si>
  <si>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</si>
  <si>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</si>
  <si>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</si>
  <si>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</si>
  <si>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</si>
  <si>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</si>
  <si>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</si>
  <si>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</si>
  <si>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</si>
  <si>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</si>
  <si>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</si>
  <si>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</si>
  <si>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</si>
  <si>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</si>
  <si>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</si>
  <si>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</si>
  <si>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</si>
  <si>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</si>
  <si>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</si>
  <si>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</si>
  <si>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</si>
  <si>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</si>
  <si>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</si>
  <si>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</si>
  <si>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</si>
  <si>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</si>
  <si>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</si>
  <si>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</si>
  <si>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</si>
  <si>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</si>
  <si>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</si>
  <si>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</si>
  <si>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</si>
  <si>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</si>
  <si>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</si>
  <si>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</si>
  <si>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</si>
  <si>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</si>
  <si>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</si>
  <si>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</si>
  <si>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</si>
  <si>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</si>
  <si>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</si>
  <si>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</si>
  <si>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</si>
  <si>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</si>
  <si>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</si>
  <si>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</si>
  <si>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</si>
  <si>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</si>
  <si>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</si>
  <si>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</si>
  <si>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</si>
  <si>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</si>
  <si>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</si>
  <si>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</si>
  <si>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</si>
  <si>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</si>
  <si>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</si>
  <si>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</si>
  <si>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</si>
  <si>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</si>
  <si>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</si>
  <si>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</si>
  <si>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</si>
  <si>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</si>
  <si>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</si>
  <si>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</si>
  <si>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</si>
  <si>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</si>
  <si>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</si>
  <si>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</si>
  <si>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</si>
  <si>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</si>
  <si>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</si>
  <si>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</si>
  <si>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</si>
  <si>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</si>
  <si>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</si>
  <si>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</si>
  <si>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</si>
  <si>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</si>
  <si>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</si>
  <si>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</si>
  <si>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</si>
  <si>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</si>
  <si>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</si>
  <si>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</si>
  <si>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</si>
  <si>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</si>
  <si>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</si>
  <si>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</si>
  <si>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</si>
  <si>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</si>
  <si>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</si>
  <si>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</si>
  <si>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</si>
  <si>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</si>
  <si>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</si>
  <si>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</si>
  <si>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</si>
  <si>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</si>
  <si>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</si>
  <si>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</si>
  <si>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</si>
  <si>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</si>
  <si>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</si>
  <si>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</si>
  <si>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</si>
  <si>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</si>
  <si>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</si>
  <si>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</si>
  <si>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</si>
  <si>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</si>
  <si>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</si>
  <si>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</si>
  <si>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</si>
  <si>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</si>
  <si>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</si>
  <si>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</si>
  <si>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</si>
  <si>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</si>
  <si>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</si>
  <si>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</si>
  <si>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</si>
  <si>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</si>
  <si>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</si>
  <si>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</si>
  <si>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</si>
  <si>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</si>
  <si>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</si>
  <si>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</si>
  <si>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</si>
  <si>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</si>
  <si>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</si>
  <si>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</si>
  <si>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</si>
  <si>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</si>
  <si>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</si>
  <si>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</si>
  <si>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</si>
  <si>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</si>
  <si>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</si>
  <si>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</si>
  <si>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</si>
  <si>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</si>
  <si>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</si>
  <si>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</si>
  <si>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</si>
  <si>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</si>
  <si>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</si>
  <si>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</si>
  <si>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</si>
  <si>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</si>
  <si>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</si>
  <si>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</si>
  <si>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</si>
  <si>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</si>
  <si>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</si>
  <si>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</si>
  <si>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</si>
  <si>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</si>
  <si>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</si>
  <si>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</si>
  <si>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</si>
  <si>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</si>
  <si>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</si>
  <si>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</si>
  <si>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</si>
  <si>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</si>
  <si>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</si>
  <si>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</si>
  <si>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</si>
  <si>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</si>
  <si>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</si>
  <si>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</si>
  <si>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</si>
  <si>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</si>
  <si>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</si>
  <si>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</si>
  <si>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</si>
  <si>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</si>
  <si>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</si>
  <si>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</si>
  <si>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</si>
  <si>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</si>
  <si>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</si>
  <si>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</si>
  <si>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</si>
  <si>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</si>
  <si>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</si>
  <si>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</si>
  <si>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</si>
  <si>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</si>
  <si>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</si>
  <si>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</si>
  <si>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</si>
  <si>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</si>
  <si>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</si>
  <si>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</si>
  <si>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</si>
  <si>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</si>
  <si>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</si>
  <si>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</si>
  <si>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</si>
  <si>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</si>
  <si>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</si>
  <si>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</si>
  <si>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</si>
  <si>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</si>
  <si>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</si>
  <si>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</si>
  <si>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</si>
  <si>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</si>
  <si>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</si>
  <si>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</si>
  <si>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</si>
  <si>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</si>
  <si>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</si>
  <si>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</si>
  <si>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</si>
  <si>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</si>
  <si>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</si>
  <si>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</si>
  <si>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</si>
  <si>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</si>
  <si>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</si>
  <si>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</si>
  <si>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</si>
  <si>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</si>
  <si>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</si>
  <si>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</si>
  <si>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</si>
  <si>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</si>
  <si>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</si>
  <si>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</si>
  <si>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</si>
  <si>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</si>
  <si>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</si>
  <si>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</si>
  <si>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</si>
  <si>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</si>
  <si>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</si>
  <si>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</si>
  <si>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</si>
  <si>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</si>
  <si>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</si>
  <si>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</si>
  <si>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</si>
  <si>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</si>
  <si>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</si>
  <si>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</si>
  <si>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</si>
  <si>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</si>
  <si>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</si>
  <si>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</si>
  <si>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</si>
  <si>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</si>
  <si>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</si>
  <si>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</si>
  <si>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</si>
  <si>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</si>
  <si>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</si>
  <si>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</si>
  <si>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</si>
  <si>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</si>
  <si>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</si>
  <si>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</si>
  <si>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</si>
  <si>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</si>
  <si>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</si>
  <si>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</si>
  <si>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</si>
  <si>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</si>
  <si>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</si>
  <si>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</si>
  <si>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</si>
  <si>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</si>
  <si>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</si>
  <si>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</si>
  <si>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</si>
  <si>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</si>
  <si>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</si>
  <si>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</si>
  <si>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</si>
  <si>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</si>
  <si>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</si>
  <si>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</si>
  <si>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</si>
  <si>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</si>
  <si>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</si>
  <si>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</si>
  <si>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</si>
  <si>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</si>
  <si>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</si>
  <si>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</si>
  <si>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</si>
  <si>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</si>
  <si>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</si>
  <si>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</si>
  <si>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</si>
  <si>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</si>
  <si>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</si>
  <si>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</si>
  <si>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</si>
  <si>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</si>
  <si>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</si>
  <si>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</si>
  <si>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</si>
  <si>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</si>
  <si>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</si>
  <si>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</si>
  <si>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</si>
  <si>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</si>
  <si>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</si>
  <si>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</si>
  <si>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</si>
  <si>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</si>
  <si>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</si>
  <si>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</si>
  <si>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</si>
  <si>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</si>
  <si>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</si>
  <si>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</si>
  <si>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</si>
  <si>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</si>
  <si>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</si>
  <si>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</si>
  <si>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</si>
  <si>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</si>
  <si>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</si>
  <si>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</si>
  <si>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</si>
  <si>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</si>
  <si>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</si>
  <si>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</si>
  <si>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</si>
  <si>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</si>
  <si>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</si>
  <si>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</si>
  <si>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</si>
  <si>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</si>
  <si>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</si>
  <si>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</si>
  <si>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</si>
  <si>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</si>
  <si>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</si>
  <si>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</si>
  <si>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</si>
  <si>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</si>
  <si>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</si>
  <si>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</si>
  <si>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</si>
  <si>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</si>
  <si>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</si>
  <si>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</si>
  <si>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</si>
  <si>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</si>
  <si>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</si>
  <si>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</si>
  <si>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</si>
  <si>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</si>
  <si>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</si>
  <si>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</si>
  <si>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</si>
  <si>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</si>
  <si>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</si>
  <si>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</si>
  <si>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</si>
  <si>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</si>
  <si>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</si>
  <si>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</si>
  <si>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</si>
  <si>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</si>
  <si>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</si>
  <si>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</si>
  <si>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</si>
  <si>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</si>
  <si>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</si>
  <si>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</si>
  <si>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</si>
  <si>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</si>
  <si>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</si>
  <si>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</si>
  <si>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</si>
  <si>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</si>
  <si>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</si>
  <si>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</si>
  <si>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</si>
  <si>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</si>
  <si>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</si>
  <si>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</si>
  <si>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</si>
  <si>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</si>
  <si>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</si>
  <si>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</si>
  <si>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</si>
  <si>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</si>
  <si>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</si>
  <si>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</si>
  <si>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</si>
  <si>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</si>
  <si>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</si>
  <si>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</si>
  <si>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</si>
  <si>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</si>
  <si>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</si>
  <si>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</si>
  <si>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</si>
  <si>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</si>
  <si>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</si>
  <si>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</si>
  <si>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</si>
  <si>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</si>
  <si>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</si>
  <si>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</si>
  <si>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</si>
  <si>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</si>
  <si>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</si>
  <si>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</si>
  <si>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</si>
  <si>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</si>
  <si>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</si>
  <si>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</si>
  <si>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</si>
  <si>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</si>
  <si>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</si>
  <si>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</si>
  <si>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</si>
  <si>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</si>
  <si>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</si>
  <si>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</si>
  <si>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</si>
  <si>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</si>
  <si>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</si>
  <si>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</si>
  <si>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</si>
  <si>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</si>
  <si>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</si>
  <si>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</si>
  <si>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</si>
  <si>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</si>
  <si>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</si>
  <si>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</si>
  <si>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</si>
  <si>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</si>
  <si>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</si>
  <si>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</si>
  <si>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</si>
  <si>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</si>
  <si>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</si>
  <si>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</si>
  <si>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</si>
  <si>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</si>
  <si>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</si>
  <si>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</si>
  <si>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</si>
  <si>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</si>
  <si>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</si>
  <si>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</si>
  <si>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</si>
  <si>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</si>
  <si>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</si>
  <si>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</si>
  <si>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</si>
  <si>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</si>
  <si>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</si>
  <si>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</si>
  <si>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</si>
  <si>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</si>
  <si>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</si>
  <si>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</si>
  <si>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</si>
  <si>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</si>
  <si>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</si>
  <si>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</si>
  <si>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</si>
  <si>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</si>
  <si>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</si>
  <si>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</si>
  <si>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</si>
  <si>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</si>
  <si>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</si>
  <si>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</si>
  <si>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</si>
  <si>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</si>
  <si>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</si>
  <si>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</si>
  <si>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</si>
  <si>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</si>
  <si>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</si>
  <si>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</si>
  <si>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</si>
  <si>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</si>
  <si>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</si>
  <si>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</si>
  <si>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</si>
  <si>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</si>
  <si>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</si>
  <si>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</si>
  <si>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</si>
  <si>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</si>
  <si>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</si>
  <si>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</si>
  <si>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</si>
  <si>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</si>
  <si>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</si>
  <si>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</si>
  <si>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</si>
  <si>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</si>
  <si>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</si>
  <si>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</si>
  <si>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</si>
  <si>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</si>
  <si>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</si>
  <si>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</si>
  <si>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</si>
  <si>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</si>
  <si>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</si>
  <si>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</si>
  <si>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</si>
  <si>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</si>
  <si>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</si>
  <si>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</si>
  <si>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</si>
  <si>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</si>
  <si>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</si>
  <si>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</si>
  <si>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</si>
  <si>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</si>
  <si>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</si>
  <si>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</si>
  <si>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</si>
  <si>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</si>
  <si>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</si>
  <si>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</si>
  <si>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</si>
  <si>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</si>
  <si>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</si>
  <si>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</si>
  <si>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</si>
  <si>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</si>
  <si>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</si>
  <si>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</si>
  <si>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</si>
  <si>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</si>
  <si>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</si>
  <si>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</si>
  <si>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</si>
  <si>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</si>
  <si>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</si>
  <si>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</si>
  <si>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</si>
  <si>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</si>
  <si>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</si>
  <si>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</si>
  <si>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</si>
  <si>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</si>
  <si>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</si>
  <si>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</si>
  <si>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</si>
  <si>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</si>
  <si>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</si>
  <si>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</si>
  <si>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</si>
  <si>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</si>
  <si>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</si>
  <si>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</si>
  <si>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</si>
  <si>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</si>
  <si>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</si>
  <si>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</si>
  <si>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</si>
  <si>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</si>
  <si>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</si>
  <si>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</si>
  <si>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</si>
  <si>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</si>
  <si>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</si>
  <si>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</si>
  <si>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</si>
  <si>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</si>
  <si>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</si>
  <si>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</si>
  <si>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</si>
  <si>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</si>
  <si>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</si>
  <si>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</si>
  <si>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</si>
  <si>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</si>
  <si>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</si>
  <si>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</si>
  <si>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</si>
  <si>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</si>
  <si>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</si>
  <si>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</si>
  <si>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</si>
  <si>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</si>
  <si>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</si>
  <si>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</si>
  <si>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</si>
  <si>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</si>
  <si>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</si>
  <si>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</si>
  <si>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</si>
  <si>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</si>
  <si>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</si>
  <si>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</si>
  <si>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</si>
  <si>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</si>
  <si>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</si>
  <si>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</si>
  <si>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</si>
  <si>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</si>
  <si>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</si>
  <si>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</si>
  <si>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</si>
  <si>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</si>
  <si>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</si>
  <si>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</si>
  <si>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</si>
  <si>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</si>
  <si>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</si>
  <si>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</si>
  <si>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</si>
  <si>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</si>
  <si>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</si>
  <si>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</si>
  <si>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</si>
  <si>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</si>
  <si>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</si>
  <si>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</si>
  <si>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</si>
  <si>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</si>
  <si>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</si>
  <si>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</si>
  <si>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</si>
  <si>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</si>
  <si>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</si>
  <si>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</si>
  <si>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</si>
  <si>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</si>
  <si>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</si>
  <si>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</si>
  <si>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</si>
  <si>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</si>
  <si>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</si>
  <si>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</si>
  <si>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</si>
  <si>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</si>
  <si>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</si>
  <si>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</si>
  <si>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</si>
  <si>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</si>
  <si>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</si>
  <si>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</si>
  <si>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</si>
  <si>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</si>
  <si>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</si>
  <si>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</si>
  <si>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</si>
  <si>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</si>
  <si>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</si>
  <si>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</si>
  <si>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</si>
  <si>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</si>
  <si>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</si>
  <si>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</si>
  <si>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</si>
  <si>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</si>
  <si>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</si>
  <si>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</si>
  <si>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</si>
  <si>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</si>
  <si>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</si>
  <si>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</si>
  <si>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</si>
  <si>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</si>
  <si>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</si>
  <si>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</si>
  <si>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</si>
  <si>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</si>
  <si>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</si>
  <si>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</si>
  <si>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</si>
  <si>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</si>
  <si>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</si>
  <si>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</si>
  <si>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</si>
  <si>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</si>
  <si>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</si>
  <si>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</si>
  <si>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</si>
  <si>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</si>
  <si>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</si>
  <si>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</si>
  <si>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</si>
  <si>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</si>
  <si>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</si>
  <si>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</si>
  <si>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</si>
  <si>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</si>
  <si>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</si>
  <si>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</si>
  <si>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</si>
  <si>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</si>
  <si>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</si>
  <si>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</si>
  <si>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</si>
  <si>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</si>
  <si>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</si>
  <si>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</si>
  <si>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</si>
  <si>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</si>
  <si>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</si>
  <si>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</si>
  <si>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</si>
  <si>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</si>
  <si>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</si>
  <si>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</si>
  <si>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</si>
  <si>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</si>
  <si>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</si>
  <si>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</si>
  <si>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</si>
  <si>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</si>
  <si>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</si>
  <si>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</si>
  <si>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</si>
  <si>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</si>
  <si>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</si>
  <si>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</si>
  <si>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</si>
  <si>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</si>
  <si>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</si>
  <si>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</si>
  <si>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</si>
  <si>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</si>
  <si>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</si>
  <si>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</si>
  <si>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</si>
  <si>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</si>
  <si>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</si>
  <si>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</si>
  <si>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</si>
  <si>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</si>
  <si>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</si>
  <si>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</si>
  <si>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</si>
  <si>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</si>
  <si>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</si>
  <si>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</si>
  <si>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</si>
  <si>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</si>
  <si>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</si>
  <si>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</si>
  <si>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</si>
  <si>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</si>
  <si>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</si>
  <si>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</si>
  <si>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</si>
  <si>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</si>
  <si>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</si>
  <si>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</si>
  <si>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</si>
  <si>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</si>
  <si>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</si>
  <si>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</si>
  <si>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</si>
  <si>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</si>
  <si>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</si>
  <si>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</si>
  <si>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</si>
  <si>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</si>
  <si>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</si>
  <si>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</si>
  <si>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</si>
  <si>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</si>
  <si>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</si>
  <si>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</si>
  <si>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</si>
  <si>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</si>
  <si>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</si>
  <si>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</si>
  <si>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</si>
  <si>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</si>
  <si>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</si>
  <si>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</si>
  <si>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</si>
  <si>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</si>
  <si>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</si>
  <si>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</si>
  <si>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</si>
  <si>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</si>
  <si>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</si>
  <si>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</si>
  <si>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</si>
  <si>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</si>
  <si>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</si>
  <si>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</si>
  <si>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</si>
  <si>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</si>
  <si>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</si>
  <si>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</si>
  <si>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</si>
  <si>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</si>
  <si>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</si>
  <si>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</si>
  <si>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</si>
  <si>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</si>
  <si>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</si>
  <si>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</si>
  <si>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</si>
  <si>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</si>
  <si>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</si>
  <si>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</si>
  <si>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</si>
  <si>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</si>
  <si>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</si>
  <si>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</si>
  <si>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</si>
  <si>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</si>
  <si>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</si>
  <si>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</si>
  <si>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</si>
  <si>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</si>
  <si>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</si>
  <si>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</si>
  <si>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</si>
  <si>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</si>
  <si>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</si>
  <si>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</si>
  <si>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</si>
  <si>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</si>
  <si>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</si>
  <si>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</si>
  <si>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</si>
  <si>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</si>
  <si>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</si>
  <si>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</si>
  <si>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</si>
  <si>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</si>
  <si>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</si>
  <si>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</si>
  <si>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</si>
  <si>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</si>
  <si>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</si>
  <si>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</si>
  <si>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</si>
  <si>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</si>
  <si>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</si>
  <si>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</si>
  <si>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</si>
  <si>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</si>
  <si>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</si>
  <si>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</si>
  <si>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</si>
  <si>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</si>
  <si>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Maleale</t>
  </si>
  <si>
    <t>Female</t>
  </si>
  <si>
    <t>Age</t>
  </si>
  <si>
    <t>Birth Dae</t>
  </si>
  <si>
    <t>Current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</si>
  <si>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</si>
  <si>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</si>
  <si>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</si>
  <si>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</si>
  <si>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</si>
  <si>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</si>
  <si>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</si>
  <si>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</si>
  <si>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</si>
  <si>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</si>
  <si>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</si>
  <si>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</si>
  <si>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</si>
  <si>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</si>
  <si>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</si>
  <si>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</si>
  <si>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</si>
  <si>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</si>
  <si>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</si>
  <si>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</si>
  <si>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</si>
  <si>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</si>
  <si>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</si>
  <si>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</si>
  <si>
    <t>Details for Count of Age - Age: 30-40</t>
  </si>
  <si>
    <t>Double click on value to see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</si>
</sst>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6" fillId="0" borderId="0" xfId="0" applyFont="1"/>
    <xf numFmtId="14" fontId="0" fillId="0" borderId="0" xfId="0" applyNumberFormat="1"/>
    <xf numFmtId="1" fontId="16" fillId="0" borderId="0" xfId="0" applyNumberFormat="1" applyFont="1"/>
    <xf numFmtId="1"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Thomas Frist, Jr. &amp; family</c:v>
                </c:pt>
                <c:pt idx="1">
                  <c:v>Li Xiting</c:v>
                </c:pt>
                <c:pt idx="2">
                  <c:v>Dilip Shanghvi</c:v>
                </c:pt>
                <c:pt idx="3">
                  <c:v>Xu Hang</c:v>
                </c:pt>
                <c:pt idx="4">
                  <c:v>Chen Bang</c:v>
                </c:pt>
                <c:pt idx="5">
                  <c:v>Jiang Rensheng &amp; family</c:v>
                </c:pt>
                <c:pt idx="6">
                  <c:v>Thomas Struengmann &amp; family</c:v>
                </c:pt>
                <c:pt idx="7">
                  <c:v>Andreas Struengmann &amp; family</c:v>
                </c:pt>
                <c:pt idx="8">
                  <c:v>Sun Piaoyang</c:v>
                </c:pt>
                <c:pt idx="9">
                  <c:v>Reinhold Schmieding</c:v>
                </c:pt>
              </c:strCache>
            </c:strRef>
          </c:cat>
          <c:val>
            <c:numRef>
              <c:f>Sheet3!$B$4:$B$14</c:f>
              <c:numCache>
                <c:formatCode>General</c:formatCode>
                <c:ptCount val="10"/>
                <c:pt idx="0">
                  <c:v>20200</c:v>
                </c:pt>
                <c:pt idx="1">
                  <c:v>16300</c:v>
                </c:pt>
                <c:pt idx="2">
                  <c:v>15600</c:v>
                </c:pt>
                <c:pt idx="3">
                  <c:v>14600</c:v>
                </c:pt>
                <c:pt idx="4">
                  <c:v>13900</c:v>
                </c:pt>
                <c:pt idx="5">
                  <c:v>12200</c:v>
                </c:pt>
                <c:pt idx="6">
                  <c:v>11500</c:v>
                </c:pt>
                <c:pt idx="7">
                  <c:v>11500</c:v>
                </c:pt>
                <c:pt idx="8">
                  <c:v>9700</c:v>
                </c:pt>
                <c:pt idx="9">
                  <c:v>7700</c:v>
                </c:pt>
              </c:numCache>
            </c:numRef>
          </c:val>
          <c:extLst>
            <c:ext xmlns:c16="http://schemas.microsoft.com/office/drawing/2014/chart" uri="{C3380CC4-5D6E-409C-BE32-E72D297353CC}">
              <c16:uniqueId val="{00000000-8D6D-4E2D-AB24-B1251CE76FFD}"/>
            </c:ext>
          </c:extLst>
        </c:ser>
        <c:dLbls>
          <c:showLegendKey val="0"/>
          <c:showVal val="0"/>
          <c:showCatName val="0"/>
          <c:showSerName val="0"/>
          <c:showPercent val="0"/>
          <c:showBubbleSize val="0"/>
        </c:dLbls>
        <c:gapWidth val="219"/>
        <c:overlap val="-27"/>
        <c:axId val="1598583632"/>
        <c:axId val="1598588912"/>
      </c:barChart>
      <c:catAx>
        <c:axId val="159858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88912"/>
        <c:crosses val="autoZero"/>
        <c:auto val="1"/>
        <c:lblAlgn val="ctr"/>
        <c:lblOffset val="100"/>
        <c:noMultiLvlLbl val="0"/>
      </c:catAx>
      <c:valAx>
        <c:axId val="159858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8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Sheet3!$B$18</c:f>
              <c:strCache>
                <c:ptCount val="1"/>
                <c:pt idx="0">
                  <c:v>Total</c:v>
                </c:pt>
              </c:strCache>
            </c:strRef>
          </c:tx>
          <c:spPr>
            <a:solidFill>
              <a:schemeClr val="accent1"/>
            </a:solidFill>
            <a:ln>
              <a:noFill/>
            </a:ln>
            <a:effectLst/>
          </c:spPr>
          <c:invertIfNegative val="0"/>
          <c:cat>
            <c:strRef>
              <c:f>Sheet3!$A$19:$A$26</c:f>
              <c:strCache>
                <c:ptCount val="7"/>
                <c:pt idx="0">
                  <c:v>30-40</c:v>
                </c:pt>
                <c:pt idx="1">
                  <c:v>40-50</c:v>
                </c:pt>
                <c:pt idx="2">
                  <c:v>50-60</c:v>
                </c:pt>
                <c:pt idx="3">
                  <c:v>60-70</c:v>
                </c:pt>
                <c:pt idx="4">
                  <c:v>70-80</c:v>
                </c:pt>
                <c:pt idx="5">
                  <c:v>80-90</c:v>
                </c:pt>
                <c:pt idx="6">
                  <c:v>90-100</c:v>
                </c:pt>
              </c:strCache>
            </c:strRef>
          </c:cat>
          <c:val>
            <c:numRef>
              <c:f>Sheet3!$B$19:$B$26</c:f>
              <c:numCache>
                <c:formatCode>General</c:formatCode>
                <c:ptCount val="7"/>
                <c:pt idx="0">
                  <c:v>4</c:v>
                </c:pt>
                <c:pt idx="1">
                  <c:v>28</c:v>
                </c:pt>
                <c:pt idx="2">
                  <c:v>70</c:v>
                </c:pt>
                <c:pt idx="3">
                  <c:v>126</c:v>
                </c:pt>
                <c:pt idx="4">
                  <c:v>118</c:v>
                </c:pt>
                <c:pt idx="5">
                  <c:v>96</c:v>
                </c:pt>
                <c:pt idx="6">
                  <c:v>33</c:v>
                </c:pt>
              </c:numCache>
            </c:numRef>
          </c:val>
          <c:extLst>
            <c:ext xmlns:c16="http://schemas.microsoft.com/office/drawing/2014/chart" uri="{C3380CC4-5D6E-409C-BE32-E72D297353CC}">
              <c16:uniqueId val="{00000000-9AEC-4128-A951-02B9DC334480}"/>
            </c:ext>
          </c:extLst>
        </c:ser>
        <c:dLbls>
          <c:showLegendKey val="0"/>
          <c:showVal val="0"/>
          <c:showCatName val="0"/>
          <c:showSerName val="0"/>
          <c:showPercent val="0"/>
          <c:showBubbleSize val="0"/>
        </c:dLbls>
        <c:gapWidth val="219"/>
        <c:overlap val="-27"/>
        <c:axId val="1598593712"/>
        <c:axId val="1598592752"/>
      </c:barChart>
      <c:catAx>
        <c:axId val="159859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92752"/>
        <c:crosses val="autoZero"/>
        <c:auto val="1"/>
        <c:lblAlgn val="ctr"/>
        <c:lblOffset val="100"/>
        <c:noMultiLvlLbl val="0"/>
      </c:catAx>
      <c:valAx>
        <c:axId val="159859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15240</xdr:colOff>
      <xdr:row>2</xdr:row>
      <xdr:rowOff>0</xdr:rowOff>
    </xdr:from>
    <xdr:to>
      <xdr:col>5</xdr:col>
      <xdr:colOff>502920</xdr:colOff>
      <xdr:row>30</xdr:row>
      <xdr:rowOff>121920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73ADF8D-1E2D-0C96-EBB0-B6060F6607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23360" y="396240"/>
              <a:ext cx="1828800" cy="566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xdr:row>
      <xdr:rowOff>182880</xdr:rowOff>
    </xdr:from>
    <xdr:to>
      <xdr:col>8</xdr:col>
      <xdr:colOff>525780</xdr:colOff>
      <xdr:row>15</xdr:row>
      <xdr:rowOff>104775</xdr:rowOff>
    </xdr:to>
    <mc:AlternateContent xmlns:mc="http://schemas.openxmlformats.org/markup-compatibility/2006" xmlns:a14="http://schemas.microsoft.com/office/drawing/2010/main">
      <mc:Choice Requires="a14">
        <xdr:graphicFrame macro="">
          <xdr:nvGraphicFramePr>
            <xdr:cNvPr id="3" name="selfMade">
              <a:extLst>
                <a:ext uri="{FF2B5EF4-FFF2-40B4-BE49-F238E27FC236}">
                  <a16:creationId xmlns:a16="http://schemas.microsoft.com/office/drawing/2014/main" id="{BD86A3A4-B4D7-72F1-CDE1-E1AC24EF0FBE}"/>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6057900" y="381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2</xdr:row>
      <xdr:rowOff>7620</xdr:rowOff>
    </xdr:from>
    <xdr:to>
      <xdr:col>11</xdr:col>
      <xdr:colOff>510540</xdr:colOff>
      <xdr:row>15</xdr:row>
      <xdr:rowOff>127635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BC48ED1A-CD48-D9DB-BD5E-4D005A71A3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54340" y="403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659130</xdr:colOff>
      <xdr:row>16</xdr:row>
      <xdr:rowOff>163830</xdr:rowOff>
    </xdr:from>
    <xdr:to>
      <xdr:col>12</xdr:col>
      <xdr:colOff>537210</xdr:colOff>
      <xdr:row>30</xdr:row>
      <xdr:rowOff>133350</xdr:rowOff>
    </xdr:to>
    <xdr:graphicFrame macro="">
      <xdr:nvGraphicFramePr>
        <xdr:cNvPr id="5" name="Chart 4">
          <a:extLst>
            <a:ext uri="{FF2B5EF4-FFF2-40B4-BE49-F238E27FC236}">
              <a16:creationId xmlns:a16="http://schemas.microsoft.com/office/drawing/2014/main" id="{E1770C49-F45F-8170-2CA7-C0297DAF7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171450</xdr:colOff>
      <xdr:row>2</xdr:row>
      <xdr:rowOff>11430</xdr:rowOff>
    </xdr:from>
    <xdr:to>
      <xdr:col>19</xdr:col>
      <xdr:colOff>49530</xdr:colOff>
      <xdr:row>15</xdr:row>
      <xdr:rowOff>179070</xdr:rowOff>
    </xdr:to>
    <xdr:graphicFrame macro="">
      <xdr:nvGraphicFramePr>
        <xdr:cNvPr id="6" name="Chart 5">
          <a:extLst>
            <a:ext uri="{FF2B5EF4-FFF2-40B4-BE49-F238E27FC236}">
              <a16:creationId xmlns:a16="http://schemas.microsoft.com/office/drawing/2014/main" id="{CE80579D-C403-24F5-E7C8-7B86D5A75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raj Sharma" refreshedDate="46018.547685185185" createdVersion="8" refreshedVersion="8" minRefreshableVersion="3" recordCount="475" xr:uid="{F68E87E2-7ECB-4528-929D-E55C6F85E58D}">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3">
        <s v="Maleale"/>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1">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638618246235609" maxValue="99.449691991786452" count="445">
        <n v="76.813824491537474"/>
        <n v="54.49897954104236"/>
        <n v="61.956195354588004"/>
        <n v="81.359353610897799"/>
        <n v="95.32648870636551"/>
        <n v="70.164963559942933"/>
        <n v="83.865845311430533"/>
        <n v="85.912390169362027"/>
        <n v="68.69061979208"/>
        <n v="69.759073842302882"/>
        <n v="72.466114090687469"/>
        <n v="52.756328133071591"/>
        <n v="89.748121558726012"/>
        <n v="52.351120983572677"/>
        <n v="71.071868583162214"/>
        <n v="41.619451143993224"/>
        <n v="90.154010469944041"/>
        <n v="63.709787816563995"/>
        <n v="77.553738153738152"/>
        <n v="81.164969450101836"/>
        <n v="76.222443464656521"/>
        <n v="68.542774382985485"/>
        <n v="60.841202872531419"/>
        <n v="63.509924709103352"/>
        <n v="87.8384668035592"/>
        <n v="41.986311192229969"/>
        <n v="86.258048273908813"/>
        <n v="89.348401423660761"/>
        <n v="88.57015412065094"/>
        <n v="61.263534399010865"/>
        <n v="86.214243005947708"/>
        <n v="90.20055358324808"/>
        <n v="54.162228085021653"/>
        <n v="80.214230184214969"/>
        <n v="57.197828652348356"/>
        <n v="33.638618246235609"/>
        <n v="56.986310581680193"/>
        <n v="76.885009244773144"/>
        <n v="68.572891040393628"/>
        <n v="77.329238329238322"/>
        <n v="74.964408264583483"/>
        <n v="85.498981281039093"/>
        <n v="80.756329220888958"/>
        <n v="45.898702535412454"/>
        <n v="90.687887357843422"/>
        <n v="67.44695414099931"/>
        <n v="87.674195756331287"/>
        <n v="78.86584647374805"/>
        <n v="63.665982203969882"/>
        <n v="71.879534565366185"/>
        <n v="54.238886953058888"/>
        <n v="72.170423433222069"/>
        <n v="80.444211593713021"/>
        <n v="77.693366093366095"/>
        <n v="81.238890187305941"/>
        <n v="53.802879740417765"/>
        <n v="59.635865845311429"/>
        <n v="55.723477070499655"/>
        <n v="84.986310635830705"/>
        <n v="64.980834842677226"/>
        <n v="61.29365009273161"/>
        <n v="83.37850787132102"/>
        <n v="82.986310858952365"/>
        <n v="86.236145639928253"/>
        <n v="72.986310617709933"/>
        <n v="84.630387167428978"/>
        <n v="68.378501706213797"/>
        <n v="69.638610763454309"/>
        <n v="55.274469541409992"/>
        <n v="64.022576976538474"/>
        <n v="70.378513862646045"/>
        <n v="39.271731690622858"/>
        <n v="55.238877481177276"/>
        <n v="62.857633305810268"/>
        <n v="92.775494583137075"/>
        <n v="80.548250802771676"/>
        <n v="60.252558348294436"/>
        <n v="75.32101300479124"/>
        <n v="87.375770020533878"/>
        <n v="64.107451244682196"/>
        <n v="76.386715972123454"/>
        <n v="62.572899917430796"/>
        <n v="57.822043898985129"/>
        <n v="60.696095152603235"/>
        <n v="59.863107460643398"/>
        <n v="80.044482001014018"/>
        <n v="68.293627489881757"/>
        <n v="73.129379555292459"/>
        <n v="63.942505133470227"/>
        <n v="75.534565366187536"/>
        <n v="69.542787859824784"/>
        <n v="89.8603717336416"/>
        <n v="75.772758384668037"/>
        <n v="93.627657715384174"/>
        <n v="85.928817012606643"/>
        <n v="94.797400501455371"/>
        <n v="74.986310870993648"/>
        <n v="58.482552204176336"/>
        <n v="78.230670594351068"/>
        <n v="70.668723248370796"/>
        <n v="57.775501534104322"/>
        <n v="69.937030663329153"/>
        <n v="86.337445322088314"/>
        <n v="70.238884818570924"/>
        <n v="47.800136892539356"/>
        <n v="70.986310878031844"/>
        <n v="58.98631090487239"/>
        <n v="86.690625295024702"/>
        <n v="84.121142820331116"/>
        <n v="81.652298754632568"/>
        <n v="71.493497604380565"/>
        <n v="63.600273785078713"/>
        <n v="61.82204362801378"/>
        <n v="98.501714601769919"/>
        <n v="58.537308584686777"/>
        <n v="68.715260693595752"/>
        <n v="70.236146994177304"/>
        <n v="60.321005385996408"/>
        <n v="80.901436538786541"/>
        <n v="78.82204124068619"/>
        <n v="49.838471225976015"/>
        <n v="83.206023271731695"/>
        <n v="83.414099931553736"/>
        <n v="62.997946611909654"/>
        <n v="92.81930051813471"/>
        <n v="66.786449820202691"/>
        <n v="78.414105007797616"/>
        <n v="61.682416320763053"/>
        <n v="60.460637342908441"/>
        <n v="52.901436098770532"/>
        <n v="72.219705209466298"/>
        <n v="75.444216290212182"/>
        <n v="62.140324192777371"/>
        <n v="85.630396026996053"/>
        <n v="41.211524672446387"/>
        <n v="75.860369609856264"/>
        <n v="61.986311048308757"/>
        <n v="53.43327925370108"/>
        <n v="77.238890838890839"/>
        <n v="72.301841503206688"/>
        <n v="65.709793835815319"/>
        <n v="60.652289048473968"/>
        <n v="91.463381245722104"/>
        <n v="75.572895277207394"/>
        <n v="53.986311093084574"/>
        <n v="85.997954495389749"/>
        <n v="88.529086043006131"/>
        <n v="70.189603979485597"/>
        <n v="96.394930706483379"/>
        <n v="84.561940346582489"/>
        <n v="75.986310746064333"/>
        <n v="59.794661190965094"/>
        <n v="48.296362518857912"/>
        <n v="73.074623552480659"/>
        <n v="46.110211452204815"/>
        <n v="63.356605065023956"/>
        <n v="85.263529861199544"/>
        <n v="66.813828048381822"/>
        <n v="77.203299403299397"/>
        <n v="43.775496235455165"/>
        <n v="61.186876269539873"/>
        <n v="76.882271369648691"/>
        <n v="46.028077124716027"/>
        <n v="84.375764993880054"/>
        <n v="87.805612594113626"/>
        <n v="77.570164970164967"/>
        <n v="76.961669748257719"/>
        <n v="82.909651669085633"/>
        <n v="54.381253422270895"/>
        <n v="55.819301848049278"/>
        <n v="57.901439697899455"/>
        <n v="78.619442037775087"/>
        <n v="65.759074127846688"/>
        <n v="62.238885750293335"/>
        <n v="56.030789182957875"/>
        <n v="79.367556468172481"/>
        <n v="67.32101300479124"/>
        <n v="73.422324170335557"/>
        <n v="73.318287764993158"/>
        <n v="69.822043178973715"/>
        <n v="61.414112867614591"/>
        <n v="65.40316090762019"/>
        <n v="66.917865315462578"/>
        <n v="69.030819774718395"/>
        <n v="73.737171186503389"/>
        <n v="97.23615030032127"/>
        <n v="60.263509874326751"/>
        <n v="46.854896021436474"/>
        <n v="44.329216354344119"/>
        <n v="78.655033789637841"/>
        <n v="59.175906913073234"/>
        <n v="82.307329462989841"/>
        <n v="50.468864075585138"/>
        <n v="84.808348901629842"/>
        <n v="80.427784350177447"/>
        <n v="88.414095425600649"/>
        <n v="65.986311029991285"/>
        <n v="74.748120026283132"/>
        <n v="68.969883342591856"/>
        <n v="58.474338747099772"/>
        <n v="75.800136892539356"/>
        <n v="59.838466803559207"/>
        <n v="73.556476377224456"/>
        <n v="50.197820485290961"/>
        <n v="74.49624005256625"/>
        <n v="51.800136892539356"/>
        <n v="41.597549051561174"/>
        <n v="58.518143851508121"/>
        <n v="66.986310885910427"/>
        <n v="54.986310916421921"/>
        <n v="82.709790209790214"/>
        <n v="74.408629626925602"/>
        <n v="70.559210272625606"/>
        <n v="71.080082135523611"/>
        <n v="81.931554872959168"/>
        <n v="77.986310986310983"/>
        <n v="76.039005831318448"/>
        <n v="70.241622642964558"/>
        <n v="50.518144728365904"/>
        <n v="77.022604422604417"/>
        <n v="57.986311069152705"/>
        <n v="78.07735227863455"/>
        <n v="80.553726550616858"/>
        <n v="75.60301163586584"/>
        <n v="79.986310746064333"/>
        <n v="77.772762372762372"/>
        <n v="64.175898235120684"/>
        <n v="65.394947525614967"/>
        <n v="82.285426837313636"/>
        <n v="94.367561024813384"/>
        <n v="71.238877481177269"/>
        <n v="44.249817473837915"/>
        <n v="72.47432772006151"/>
        <n v="68.756328862788664"/>
        <n v="68.50718196968495"/>
        <n v="60.731687612208262"/>
        <n v="56.786445074211059"/>
        <n v="42.545524003565518"/>
        <n v="69.726220275344176"/>
        <n v="96.627649665528239"/>
        <n v="88.619435813824722"/>
        <n v="63.071868583162221"/>
        <n v="61.61670935264506"/>
        <n v="55.260780287474333"/>
        <n v="55.071868583162221"/>
        <n v="74.619442213623415"/>
        <n v="57.509936275666746"/>
        <n v="57.274486665093228"/>
        <n v="59.906913073237511"/>
        <n v="53.282701277631318"/>
        <n v="76.088287583558525"/>
        <n v="69.488031914893611"/>
        <n v="55.980835044490078"/>
        <n v="61.403161706261592"/>
        <n v="58.561948955916478"/>
        <n v="45.408641828353772"/>
        <n v="82.846681620266523"/>
        <n v="57.107481708756197"/>
        <n v="74.321019201284955"/>
        <n v="71.26899383983573"/>
        <n v="70.98083522924459"/>
        <n v="64.512657428078015"/>
        <n v="57.425064904413503"/>
        <n v="92.271726330664151"/>
        <n v="70.063664057378631"/>
        <n v="44.351119493794108"/>
        <n v="68.808348543766371"/>
        <n v="87.750855578370974"/>
        <n v="64.986310601912308"/>
        <n v="83.249828884325808"/>
        <n v="87.89596167008898"/>
        <n v="71.247091033538666"/>
        <n v="81.972621949183662"/>
        <n v="55.49075975359343"/>
        <n v="82.97262171790473"/>
        <n v="73.375781567945538"/>
        <n v="73.986310999297046"/>
        <n v="74.742644374680594"/>
        <n v="64.937028768796594"/>
        <n v="84.074598982155507"/>
        <n v="94.572898354419436"/>
        <n v="62.060927382556166"/>
        <n v="53.1430744270939"/>
        <n v="65.816567801883266"/>
        <n v="58.567424593967516"/>
        <n v="68.088286643917158"/>
        <n v="71.047227926078023"/>
        <n v="82.540044860799583"/>
        <n v="81.186871890754901"/>
        <n v="44.3675468483816"/>
        <n v="64.46063771534476"/>
        <n v="80.238871049518337"/>
        <n v="82.405891278532792"/>
        <n v="78.980835210535432"/>
        <n v="64.112927003917278"/>
        <n v="69.033557571964948"/>
        <n v="75.15947980835044"/>
        <n v="96.961669818510259"/>
        <n v="61.252583237657866"/>
        <n v="40.586577629382305"/>
        <n v="43.748117727583846"/>
        <n v="80.430522224100045"/>
        <n v="83.175906913073234"/>
        <n v="86.203291688957421"/>
        <n v="58.559211136890951"/>
        <n v="61.304601254084609"/>
        <n v="71.995199339909234"/>
        <n v="70.279952184475377"/>
        <n v="73.832994191424021"/>
        <n v="89.986310954278593"/>
        <n v="91.986310746064333"/>
        <n v="58.279953596287704"/>
        <n v="61.260796608672614"/>
        <n v="83.26899383983573"/>
        <n v="57.466131696955394"/>
        <n v="71.657768651608492"/>
        <n v="61.800141305307783"/>
        <n v="89.241626867033744"/>
        <n v="58.252575406032484"/>
        <n v="43.154004106776178"/>
        <n v="56.375762524616938"/>
        <n v="61.104742559392392"/>
        <n v="64.12661640200497"/>
        <n v="96.980834909255123"/>
        <n v="56.017099764638068"/>
        <n v="64.45242407649215"/>
        <n v="68.70430918181097"/>
        <n v="61.033560010597903"/>
        <n v="64.331957373320421"/>
        <n v="75.077344284736483"/>
        <n v="59.167693360711844"/>
        <n v="78.00069312077629"/>
        <n v="49.986311120845428"/>
        <n v="46.986310945418538"/>
        <n v="63.405886379192332"/>
        <n v="58.34018561484919"/>
        <n v="74.75359567788567"/>
        <n v="87.006160164271051"/>
        <n v="86.597539100607364"/>
        <n v="95.375770020533878"/>
        <n v="74.208768343432865"/>
        <n v="42.611231376543998"/>
        <n v="67.986310746064333"/>
        <n v="71.682409308692669"/>
        <n v="72.824775906687165"/>
        <n v="70.028072340261446"/>
        <n v="80.835727564644245"/>
        <n v="66.219720496894411"/>
        <n v="49.969884465859934"/>
        <n v="83.082819986310753"/>
        <n v="61.3648326415261"/>
        <n v="95.830253251197803"/>
        <n v="87.32101300479124"/>
        <n v="54.682413260988604"/>
        <n v="74.356610936701472"/>
        <n v="65.712531629817065"/>
        <n v="72.537298878595806"/>
        <n v="62.154013297987916"/>
        <n v="63.200547570157426"/>
        <n v="92.915126000942067"/>
        <n v="91.419575633127991"/>
        <n v="80.178637823221223"/>
        <n v="60.98631059245961"/>
        <n v="69.570165832290357"/>
        <n v="87.986310746064333"/>
        <n v="61.79466572463128"/>
        <n v="99.449691991786452"/>
        <n v="62.655034548694104"/>
        <n v="87.819301848049278"/>
        <n v="92.403144135657087"/>
        <n v="63.463381245722111"/>
        <n v="72.663241195664412"/>
        <n v="61.405899496599844"/>
        <n v="82.247097242380264"/>
        <n v="66.849419745014714"/>
        <n v="87.956194387405887"/>
        <n v="76.854892618404207"/>
        <n v="66.337446878064725"/>
        <n v="91.151266255989043"/>
        <n v="95.181382614647504"/>
        <n v="79.482546201232026"/>
        <n v="74.488026575162451"/>
        <n v="88.301842680038149"/>
        <n v="62.986310894789447"/>
        <n v="95.739904175222449"/>
        <n v="64.679668084747902"/>
        <n v="65.206039739494756"/>
        <n v="68.947980319022307"/>
        <n v="60.992493155524159"/>
        <n v="78.173176225957377"/>
        <n v="73.411372969773197"/>
        <n v="59.266255989048595"/>
        <n v="91.282683093771396"/>
        <n v="95.986310746064333"/>
        <n v="74.394940497919251"/>
        <n v="80.028054757478444"/>
        <n v="54.151276818159189"/>
        <n v="61.737172127528041"/>
        <n v="59.375770020533878"/>
        <n v="82.726217179047367"/>
        <n v="83.813826146475023"/>
        <n v="90.279950658884403"/>
        <n v="67.969883641341553"/>
        <n v="72.25255972696246"/>
        <n v="54.154014634874805"/>
        <n v="68.178636616141574"/>
        <n v="76.496230977101405"/>
        <n v="68.709784937703361"/>
        <n v="35.392197125256672"/>
        <n v="37.296397694524501"/>
        <n v="96.715261508933352"/>
        <n v="80.600270407300997"/>
        <n v="60.830251346499104"/>
        <n v="97.770023746333294"/>
        <n v="70.824779238807693"/>
        <n v="84.564678219416351"/>
        <n v="69.348404255319153"/>
        <n v="80.95619401723846"/>
        <n v="81.345664585489629"/>
        <n v="82.77276025860931"/>
        <n v="83.701574264202605"/>
        <n v="70.739906682605167"/>
        <n v="84.690620369773882"/>
        <n v="45.972622306868232"/>
        <n v="70.863108780318512"/>
        <n v="79.89048596851471"/>
        <n v="76.633124733323854"/>
        <n v="73.227940360353685"/>
        <n v="60.745377019748652"/>
        <n v="62.457911433662161"/>
        <n v="74.219719646637955"/>
        <n v="52.268984399214794"/>
        <n v="66.969883949002948"/>
        <n v="63.252566735112936"/>
        <n v="62.641345443483551"/>
        <n v="68.482541068169198"/>
        <n v="81.622182898734607"/>
        <n v="75.559206023271727"/>
        <n v="82.983573030742846"/>
        <n v="89.006175280625442"/>
        <n v="81.323762144836564"/>
        <n v="65.597544281743893"/>
        <n v="84.608484184758098"/>
        <n v="80.570153794152432"/>
        <n v="70.115682720857592"/>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5-12-27T00:00:00" maxDate="2025-12-28T00:00:00"/>
    </cacheField>
    <cacheField name="Birth Da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1592062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5-12-27T00:00:00"/>
    <d v="1949-03-05T00:00:00"/>
  </r>
  <r>
    <n v="2"/>
    <x v="1"/>
    <x v="1"/>
    <s v="United States"/>
    <s v="Austin"/>
    <s v="Tesla, SpaceX"/>
    <s v="Automotive"/>
    <x v="1"/>
    <x v="1"/>
    <s v="Musk"/>
    <s v="Elon"/>
    <n v="180000"/>
    <n v="1971"/>
    <n v="6"/>
    <n v="28"/>
    <n v="117.24"/>
    <n v="21427700000000"/>
    <n v="78.5"/>
    <n v="9.6"/>
    <n v="36.6"/>
    <n v="328239523"/>
    <x v="1"/>
    <d v="2025-12-27T00:00:00"/>
    <d v="1971-06-28T00:00:00"/>
  </r>
  <r>
    <n v="3"/>
    <x v="2"/>
    <x v="2"/>
    <s v="United States"/>
    <s v="Medina"/>
    <s v="Amazon"/>
    <s v="Technology"/>
    <x v="1"/>
    <x v="1"/>
    <s v="Bezos"/>
    <s v="Jeff"/>
    <n v="114000"/>
    <n v="1964"/>
    <n v="1"/>
    <n v="12"/>
    <n v="117.24"/>
    <n v="21427700000000"/>
    <n v="78.5"/>
    <n v="9.6"/>
    <n v="36.6"/>
    <n v="328239523"/>
    <x v="2"/>
    <d v="2025-12-27T00:00:00"/>
    <d v="1964-01-12T00:00:00"/>
  </r>
  <r>
    <n v="4"/>
    <x v="2"/>
    <x v="3"/>
    <s v="United States"/>
    <s v="Lanai"/>
    <s v="Oracle"/>
    <s v="Technology"/>
    <x v="1"/>
    <x v="1"/>
    <s v="Ellison"/>
    <s v="Larry"/>
    <n v="107000"/>
    <n v="1944"/>
    <n v="8"/>
    <n v="17"/>
    <n v="117.24"/>
    <n v="21427700000000"/>
    <n v="78.5"/>
    <n v="9.6"/>
    <n v="36.6"/>
    <n v="328239523"/>
    <x v="3"/>
    <d v="2025-12-27T00:00:00"/>
    <d v="1944-08-17T00:00:00"/>
  </r>
  <r>
    <n v="5"/>
    <x v="3"/>
    <x v="4"/>
    <s v="United States"/>
    <s v="Omaha"/>
    <s v="Berkshire Hathaway"/>
    <s v="Finance &amp; Investments"/>
    <x v="1"/>
    <x v="1"/>
    <s v="Buffett"/>
    <s v="Warren"/>
    <n v="106000"/>
    <n v="1930"/>
    <n v="8"/>
    <n v="30"/>
    <n v="117.24"/>
    <n v="21427700000000"/>
    <n v="78.5"/>
    <n v="9.6"/>
    <n v="36.6"/>
    <n v="328239523"/>
    <x v="4"/>
    <d v="2025-12-27T00:00:00"/>
    <d v="1930-08-30T00:00:00"/>
  </r>
  <r>
    <n v="6"/>
    <x v="2"/>
    <x v="5"/>
    <s v="United States"/>
    <s v="Medina"/>
    <s v="Microsoft"/>
    <s v="Technology"/>
    <x v="1"/>
    <x v="1"/>
    <s v="Gates"/>
    <s v="Bill"/>
    <n v="104000"/>
    <n v="1955"/>
    <n v="10"/>
    <n v="28"/>
    <n v="117.24"/>
    <n v="21427700000000"/>
    <n v="78.5"/>
    <n v="9.6"/>
    <n v="36.6"/>
    <n v="328239523"/>
    <x v="5"/>
    <d v="2025-12-27T00:00:00"/>
    <d v="1955-10-28T00:00:00"/>
  </r>
  <r>
    <n v="7"/>
    <x v="4"/>
    <x v="6"/>
    <s v="United States"/>
    <s v="New York"/>
    <s v="Bloomberg LP"/>
    <s v="Media &amp; Entertainment"/>
    <x v="1"/>
    <x v="1"/>
    <s v="Bloomberg"/>
    <s v="Michael"/>
    <n v="94500"/>
    <n v="1942"/>
    <n v="2"/>
    <n v="14"/>
    <n v="117.24"/>
    <n v="21427700000000"/>
    <n v="78.5"/>
    <n v="9.6"/>
    <n v="36.6"/>
    <n v="328239523"/>
    <x v="6"/>
    <d v="2025-12-27T00:00:00"/>
    <d v="1942-02-14T00:00:00"/>
  </r>
  <r>
    <n v="8"/>
    <x v="5"/>
    <x v="7"/>
    <s v="Mexico"/>
    <s v="Mexico City"/>
    <s v="Telecom"/>
    <s v="Telecom"/>
    <x v="1"/>
    <x v="1"/>
    <s v="Slim Helu"/>
    <s v="Carlos"/>
    <n v="93000"/>
    <n v="1940"/>
    <n v="1"/>
    <n v="28"/>
    <n v="141.54"/>
    <n v="1258286717125"/>
    <n v="75"/>
    <n v="13.1"/>
    <n v="55.1"/>
    <n v="126014024"/>
    <x v="7"/>
    <d v="2025-12-27T00:00:00"/>
    <d v="1940-01-28T00:00:00"/>
  </r>
  <r>
    <n v="9"/>
    <x v="6"/>
    <x v="8"/>
    <s v="India"/>
    <s v="Mumbai"/>
    <s v="Diversified"/>
    <s v="Diversified"/>
    <x v="0"/>
    <x v="1"/>
    <s v="Ambani"/>
    <s v="Mukesh"/>
    <n v="83400"/>
    <n v="1957"/>
    <n v="4"/>
    <n v="19"/>
    <n v="180.44"/>
    <n v="2611000000000"/>
    <n v="69.400000000000006"/>
    <n v="11.2"/>
    <n v="49.7"/>
    <n v="1366417754"/>
    <x v="8"/>
    <d v="2025-12-27T00:00:00"/>
    <d v="1957-04-19T00:00:00"/>
  </r>
  <r>
    <n v="10"/>
    <x v="2"/>
    <x v="9"/>
    <s v="United States"/>
    <s v="Hunts Point"/>
    <s v="Microsoft"/>
    <s v="Technology"/>
    <x v="1"/>
    <x v="1"/>
    <s v="Ballmer"/>
    <s v="Steve"/>
    <n v="80700"/>
    <n v="1956"/>
    <n v="3"/>
    <n v="24"/>
    <n v="117.24"/>
    <n v="21427700000000"/>
    <n v="78.5"/>
    <n v="9.6"/>
    <n v="36.6"/>
    <n v="328239523"/>
    <x v="9"/>
    <d v="2025-12-27T00:00:00"/>
    <d v="1956-03-24T00:00:00"/>
  </r>
  <r>
    <n v="11"/>
    <x v="0"/>
    <x v="10"/>
    <s v="France"/>
    <s v="Paris"/>
    <s v="L'Oréal"/>
    <s v="Fashion &amp; Retail"/>
    <x v="0"/>
    <x v="2"/>
    <s v="Bettencourt Meyers"/>
    <s v="Francoise"/>
    <n v="80500"/>
    <n v="1953"/>
    <n v="7"/>
    <n v="10"/>
    <n v="110.05"/>
    <n v="2715518274227"/>
    <n v="82.5"/>
    <n v="24.2"/>
    <n v="60.7"/>
    <n v="67059887"/>
    <x v="10"/>
    <d v="2025-12-27T00:00:00"/>
    <d v="1953-07-10T00:00:00"/>
  </r>
  <r>
    <n v="12"/>
    <x v="2"/>
    <x v="11"/>
    <s v="United States"/>
    <s v="Palo Alto"/>
    <s v="Google"/>
    <s v="Technology"/>
    <x v="1"/>
    <x v="1"/>
    <s v="Page"/>
    <s v="Larry"/>
    <n v="79200"/>
    <n v="1973"/>
    <n v="3"/>
    <n v="26"/>
    <n v="117.24"/>
    <n v="21427700000000"/>
    <n v="78.5"/>
    <n v="9.6"/>
    <n v="36.6"/>
    <n v="328239523"/>
    <x v="11"/>
    <d v="2025-12-27T00:00:00"/>
    <d v="1973-03-26T00:00:00"/>
  </r>
  <r>
    <n v="13"/>
    <x v="0"/>
    <x v="12"/>
    <s v="Spain"/>
    <s v="La Coruna"/>
    <s v="Zara"/>
    <s v="Fashion &amp; Retail"/>
    <x v="1"/>
    <x v="1"/>
    <s v="Ortega"/>
    <s v="Amancio"/>
    <n v="77300"/>
    <n v="1936"/>
    <n v="3"/>
    <n v="28"/>
    <n v="110.96"/>
    <n v="1394116310769"/>
    <n v="83.3"/>
    <n v="14.2"/>
    <n v="47"/>
    <n v="47076781"/>
    <x v="12"/>
    <d v="2025-12-27T00:00:00"/>
    <d v="1936-03-28T00:00:00"/>
  </r>
  <r>
    <n v="14"/>
    <x v="2"/>
    <x v="13"/>
    <s v="United States"/>
    <s v="Los Altos"/>
    <s v="Google"/>
    <s v="Technology"/>
    <x v="1"/>
    <x v="1"/>
    <s v="Brin"/>
    <s v="Sergey"/>
    <n v="76000"/>
    <n v="1973"/>
    <n v="8"/>
    <n v="21"/>
    <n v="117.24"/>
    <n v="21427700000000"/>
    <n v="78.5"/>
    <n v="9.6"/>
    <n v="36.6"/>
    <n v="328239523"/>
    <x v="13"/>
    <d v="2025-12-27T00:00:00"/>
    <d v="1973-08-21T00:00:00"/>
  </r>
  <r>
    <n v="15"/>
    <x v="7"/>
    <x v="14"/>
    <s v="China"/>
    <s v="Hangzhou"/>
    <s v="Beverages, pharmaceuticals"/>
    <s v="Food &amp; Beverage"/>
    <x v="1"/>
    <x v="1"/>
    <s v="Zhong"/>
    <s v="Shanshan"/>
    <n v="68000"/>
    <n v="1954"/>
    <n v="12"/>
    <n v="1"/>
    <n v="125.08"/>
    <n v="19910000000000"/>
    <n v="77"/>
    <n v="9.4"/>
    <n v="59.2"/>
    <n v="1397715000"/>
    <x v="14"/>
    <d v="2025-12-27T00:00:00"/>
    <d v="1954-12-01T00:00:00"/>
  </r>
  <r>
    <n v="16"/>
    <x v="2"/>
    <x v="15"/>
    <s v="United States"/>
    <s v="Palo Alto"/>
    <s v="Facebook"/>
    <s v="Technology"/>
    <x v="1"/>
    <x v="1"/>
    <s v="Zuckerberg"/>
    <s v="Mark"/>
    <n v="64400"/>
    <n v="1984"/>
    <n v="5"/>
    <n v="14"/>
    <n v="117.24"/>
    <n v="21427700000000"/>
    <n v="78.5"/>
    <n v="9.6"/>
    <n v="36.6"/>
    <n v="328239523"/>
    <x v="15"/>
    <d v="2025-12-27T00:00:00"/>
    <d v="1984-05-14T00:00:00"/>
  </r>
  <r>
    <n v="17"/>
    <x v="6"/>
    <x v="16"/>
    <s v="United States"/>
    <s v="Wichita"/>
    <s v="Koch Industries"/>
    <s v="Diversified"/>
    <x v="0"/>
    <x v="1"/>
    <s v="Koch"/>
    <s v="Charles"/>
    <n v="59000"/>
    <n v="1935"/>
    <n v="11"/>
    <n v="1"/>
    <n v="117.24"/>
    <n v="21427700000000"/>
    <n v="78.5"/>
    <n v="9.6"/>
    <n v="36.6"/>
    <n v="328239523"/>
    <x v="16"/>
    <d v="2025-12-27T00:00:00"/>
    <d v="1935-11-01T00:00:00"/>
  </r>
  <r>
    <n v="17"/>
    <x v="6"/>
    <x v="17"/>
    <s v="United States"/>
    <s v="New York"/>
    <s v="Koch Industries"/>
    <s v="Diversified"/>
    <x v="0"/>
    <x v="2"/>
    <s v="Koch"/>
    <s v="Julia"/>
    <n v="59000"/>
    <n v="1962"/>
    <n v="4"/>
    <n v="12"/>
    <n v="117.24"/>
    <n v="21427700000000"/>
    <n v="78.5"/>
    <n v="9.6"/>
    <n v="36.6"/>
    <n v="328239523"/>
    <x v="17"/>
    <d v="2025-12-27T00:00:00"/>
    <d v="1962-04-12T00:00:00"/>
  </r>
  <r>
    <n v="19"/>
    <x v="0"/>
    <x v="18"/>
    <s v="United States"/>
    <s v="Bentonville"/>
    <s v="Walmart"/>
    <s v="Fashion &amp; Retail"/>
    <x v="0"/>
    <x v="1"/>
    <s v="Walton"/>
    <s v="Jim"/>
    <n v="58800"/>
    <n v="1948"/>
    <n v="6"/>
    <n v="7"/>
    <n v="117.24"/>
    <n v="21427700000000"/>
    <n v="78.5"/>
    <n v="9.6"/>
    <n v="36.6"/>
    <n v="328239523"/>
    <x v="18"/>
    <d v="2025-12-27T00:00:00"/>
    <d v="1948-06-07T00:00:00"/>
  </r>
  <r>
    <n v="20"/>
    <x v="0"/>
    <x v="19"/>
    <s v="United States"/>
    <s v="Bentonville"/>
    <s v="Walmart"/>
    <s v="Fashion &amp; Retail"/>
    <x v="0"/>
    <x v="1"/>
    <s v="Walton"/>
    <s v="Rob"/>
    <n v="57600"/>
    <n v="1944"/>
    <n v="10"/>
    <n v="27"/>
    <n v="117.24"/>
    <n v="21427700000000"/>
    <n v="78.5"/>
    <n v="9.6"/>
    <n v="36.6"/>
    <n v="328239523"/>
    <x v="19"/>
    <d v="2025-12-27T00:00:00"/>
    <d v="1944-10-27T00:00:00"/>
  </r>
  <r>
    <n v="21"/>
    <x v="0"/>
    <x v="20"/>
    <s v="United States"/>
    <s v="Fort Worth"/>
    <s v="Walmart"/>
    <s v="Fashion &amp; Retail"/>
    <x v="0"/>
    <x v="2"/>
    <s v="Walton"/>
    <s v="Alice"/>
    <n v="56700"/>
    <n v="1949"/>
    <n v="10"/>
    <n v="7"/>
    <n v="117.24"/>
    <n v="21427700000000"/>
    <n v="78.5"/>
    <n v="9.6"/>
    <n v="36.6"/>
    <n v="328239523"/>
    <x v="20"/>
    <d v="2025-12-27T00:00:00"/>
    <d v="1949-10-07T00:00:00"/>
  </r>
  <r>
    <n v="22"/>
    <x v="4"/>
    <x v="21"/>
    <s v="Canada"/>
    <s v="Toronto"/>
    <s v="Media"/>
    <s v="Media &amp; Entertainment"/>
    <x v="0"/>
    <x v="1"/>
    <s v="Thomson"/>
    <s v="David"/>
    <n v="54400"/>
    <n v="1957"/>
    <n v="6"/>
    <n v="12"/>
    <n v="116.76"/>
    <n v="1736425629520"/>
    <n v="81.900000000000006"/>
    <n v="12.8"/>
    <n v="24.5"/>
    <n v="36991981"/>
    <x v="21"/>
    <d v="2025-12-27T00:00:00"/>
    <d v="1957-06-12T00:00:00"/>
  </r>
  <r>
    <n v="23"/>
    <x v="2"/>
    <x v="22"/>
    <s v="United States"/>
    <s v="Austin"/>
    <s v="Dell Technologies"/>
    <s v="Technology"/>
    <x v="1"/>
    <x v="1"/>
    <s v="Dell"/>
    <s v="Michael"/>
    <n v="50100"/>
    <n v="1965"/>
    <n v="2"/>
    <n v="23"/>
    <n v="117.24"/>
    <n v="21427700000000"/>
    <n v="78.5"/>
    <n v="9.6"/>
    <n v="36.6"/>
    <n v="328239523"/>
    <x v="22"/>
    <d v="2025-12-27T00:00:00"/>
    <d v="1965-02-23T00:00:00"/>
  </r>
  <r>
    <n v="24"/>
    <x v="6"/>
    <x v="23"/>
    <s v="India"/>
    <s v="Ahmedabad"/>
    <s v="Infrastructure, commodities"/>
    <s v="Diversified"/>
    <x v="1"/>
    <x v="1"/>
    <s v="Adani"/>
    <s v="Gautam"/>
    <n v="47200"/>
    <n v="1962"/>
    <n v="6"/>
    <n v="24"/>
    <n v="180.44"/>
    <n v="2611000000000"/>
    <n v="69.400000000000006"/>
    <n v="11.2"/>
    <n v="49.7"/>
    <n v="1366417754"/>
    <x v="23"/>
    <d v="2025-12-27T00:00:00"/>
    <d v="1962-06-24T00:00:00"/>
  </r>
  <r>
    <n v="25"/>
    <x v="0"/>
    <x v="24"/>
    <s v="United States"/>
    <s v="Hillsboro"/>
    <s v="Nike"/>
    <s v="Fashion &amp; Retail"/>
    <x v="1"/>
    <x v="1"/>
    <s v="Knight"/>
    <s v="Phil"/>
    <n v="45100"/>
    <n v="1938"/>
    <n v="2"/>
    <n v="24"/>
    <n v="117.24"/>
    <n v="21427700000000"/>
    <n v="78.5"/>
    <n v="9.6"/>
    <n v="36.6"/>
    <n v="328239523"/>
    <x v="24"/>
    <d v="2025-12-27T00:00:00"/>
    <d v="1938-02-24T00:00:00"/>
  </r>
  <r>
    <n v="26"/>
    <x v="2"/>
    <x v="25"/>
    <s v="China"/>
    <s v="Beijing"/>
    <s v="TikTok"/>
    <s v="Technology"/>
    <x v="1"/>
    <x v="1"/>
    <s v="Zhang"/>
    <s v="Yiming"/>
    <n v="45000"/>
    <n v="1984"/>
    <n v="1"/>
    <n v="1"/>
    <n v="125.08"/>
    <n v="19910000000000"/>
    <n v="77"/>
    <n v="9.4"/>
    <n v="59.2"/>
    <n v="1397715000"/>
    <x v="25"/>
    <d v="2025-12-27T00:00:00"/>
    <d v="1984-01-01T00:00:00"/>
  </r>
  <r>
    <n v="27"/>
    <x v="0"/>
    <x v="26"/>
    <s v="Germany"/>
    <s v="Neckarsulm"/>
    <s v="Retail"/>
    <s v="Fashion &amp; Retail"/>
    <x v="0"/>
    <x v="1"/>
    <s v="Schwarz"/>
    <s v="Dieter"/>
    <n v="42900"/>
    <n v="1939"/>
    <n v="9"/>
    <n v="24"/>
    <n v="112.85"/>
    <n v="3845630030824"/>
    <n v="80.900000000000006"/>
    <n v="11.5"/>
    <n v="48.8"/>
    <n v="83132799"/>
    <x v="26"/>
    <d v="2025-12-27T00:00:00"/>
    <d v="1939-09-24T00:00:00"/>
  </r>
  <r>
    <n v="28"/>
    <x v="0"/>
    <x v="27"/>
    <s v="France"/>
    <s v="Paris"/>
    <s v="Luxury goods"/>
    <s v="Fashion &amp; Retail"/>
    <x v="1"/>
    <x v="1"/>
    <s v="Pinault"/>
    <s v="François"/>
    <n v="40100"/>
    <n v="1936"/>
    <n v="8"/>
    <n v="21"/>
    <n v="110.05"/>
    <n v="2715518274227"/>
    <n v="82.5"/>
    <n v="24.2"/>
    <n v="60.7"/>
    <n v="67059887"/>
    <x v="27"/>
    <d v="2025-12-27T00:00:00"/>
    <d v="1936-08-21T00:00:00"/>
  </r>
  <r>
    <n v="29"/>
    <x v="8"/>
    <x v="28"/>
    <s v="Switzerland"/>
    <s v="Schindellegi"/>
    <s v="Shipping"/>
    <s v="Logistics"/>
    <x v="0"/>
    <x v="1"/>
    <s v="Kuehne"/>
    <s v="Klaus-Michael"/>
    <n v="39100"/>
    <n v="1937"/>
    <n v="6"/>
    <n v="2"/>
    <n v="99.55"/>
    <n v="703082435360"/>
    <n v="83.6"/>
    <n v="10.1"/>
    <n v="28.8"/>
    <n v="8574832"/>
    <x v="28"/>
    <d v="2025-12-27T00:00:00"/>
    <d v="1937-06-02T00:00:00"/>
  </r>
  <r>
    <n v="30"/>
    <x v="7"/>
    <x v="29"/>
    <s v="Belgium"/>
    <s v="Brussels"/>
    <s v="Nutella, chocolates"/>
    <s v="Food &amp; Beverage"/>
    <x v="0"/>
    <x v="1"/>
    <s v="Ferrero"/>
    <s v="Giovanni"/>
    <n v="38900"/>
    <n v="1964"/>
    <n v="9"/>
    <n v="21"/>
    <n v="117.11"/>
    <n v="529606710418"/>
    <n v="81.599999999999994"/>
    <n v="24"/>
    <n v="55.4"/>
    <n v="11484055"/>
    <x v="29"/>
    <d v="2025-12-27T00:00:00"/>
    <d v="1964-09-21T00:00:00"/>
  </r>
  <r>
    <n v="31"/>
    <x v="7"/>
    <x v="30"/>
    <s v="United States"/>
    <s v="The Plains"/>
    <s v="Candy, pet food"/>
    <s v="Food &amp; Beverage"/>
    <x v="0"/>
    <x v="2"/>
    <s v="Mars"/>
    <s v="Jacqueline"/>
    <n v="38300"/>
    <n v="1939"/>
    <n v="10"/>
    <n v="10"/>
    <n v="117.24"/>
    <n v="21427700000000"/>
    <n v="78.5"/>
    <n v="9.6"/>
    <n v="36.6"/>
    <n v="328239523"/>
    <x v="30"/>
    <d v="2025-12-27T00:00:00"/>
    <d v="1939-10-10T00:00:00"/>
  </r>
  <r>
    <n v="31"/>
    <x v="7"/>
    <x v="31"/>
    <s v="United States"/>
    <s v="Jackson"/>
    <s v="Candy, pet food"/>
    <s v="Food &amp; Beverage"/>
    <x v="0"/>
    <x v="1"/>
    <s v="Mars"/>
    <s v="John"/>
    <n v="38300"/>
    <n v="1935"/>
    <n v="10"/>
    <n v="15"/>
    <n v="117.24"/>
    <n v="21427700000000"/>
    <n v="78.5"/>
    <n v="9.6"/>
    <n v="36.6"/>
    <n v="328239523"/>
    <x v="31"/>
    <d v="2025-12-27T00:00:00"/>
    <d v="1935-10-15T00:00:00"/>
  </r>
  <r>
    <n v="34"/>
    <x v="2"/>
    <x v="32"/>
    <s v="China"/>
    <s v="Shenzhen"/>
    <s v="Internet media"/>
    <s v="Technology"/>
    <x v="1"/>
    <x v="1"/>
    <s v="Ma"/>
    <s v="Huateng"/>
    <n v="35300"/>
    <n v="1971"/>
    <n v="10"/>
    <n v="29"/>
    <n v="125.08"/>
    <n v="19910000000000"/>
    <n v="77"/>
    <n v="9.4"/>
    <n v="59.2"/>
    <n v="1397715000"/>
    <x v="32"/>
    <d v="2025-12-27T00:00:00"/>
    <d v="1971-10-29T00:00:00"/>
  </r>
  <r>
    <n v="35"/>
    <x v="9"/>
    <x v="33"/>
    <s v="United States"/>
    <s v="Las Vegas"/>
    <s v="Casinos"/>
    <s v="Gambling &amp; Casinos"/>
    <x v="0"/>
    <x v="2"/>
    <s v="Adelson"/>
    <s v="Miriam"/>
    <n v="35000"/>
    <n v="1945"/>
    <n v="10"/>
    <n v="10"/>
    <n v="117.24"/>
    <n v="21427700000000"/>
    <n v="78.5"/>
    <n v="9.6"/>
    <n v="36.6"/>
    <n v="328239523"/>
    <x v="33"/>
    <d v="2025-12-27T00:00:00"/>
    <d v="1945-10-10T00:00:00"/>
  </r>
  <r>
    <n v="35"/>
    <x v="3"/>
    <x v="34"/>
    <s v="United States"/>
    <s v="Miami"/>
    <s v="Hedge funds"/>
    <s v="Finance &amp; Investments"/>
    <x v="1"/>
    <x v="1"/>
    <s v="Griffin"/>
    <s v="Ken"/>
    <n v="35000"/>
    <n v="1968"/>
    <n v="10"/>
    <n v="15"/>
    <n v="117.24"/>
    <n v="21427700000000"/>
    <n v="78.5"/>
    <n v="9.6"/>
    <n v="36.6"/>
    <n v="328239523"/>
    <x v="34"/>
    <d v="2025-12-27T00:00:00"/>
    <d v="1968-10-15T00:00:00"/>
  </r>
  <r>
    <n v="37"/>
    <x v="7"/>
    <x v="35"/>
    <s v="Austria"/>
    <s v="Salzburg"/>
    <s v="Red Bull"/>
    <s v="Food &amp; Beverage"/>
    <x v="0"/>
    <x v="1"/>
    <s v="Mateschitz"/>
    <s v="Mark"/>
    <n v="34700"/>
    <n v="1992"/>
    <n v="5"/>
    <n v="7"/>
    <n v="118.06"/>
    <n v="446314739528"/>
    <n v="81.599999999999994"/>
    <n v="25.4"/>
    <n v="51.4"/>
    <n v="8877067"/>
    <x v="35"/>
    <d v="2025-12-27T00:00:00"/>
    <d v="1992-05-07T00:00:00"/>
  </r>
  <r>
    <n v="38"/>
    <x v="1"/>
    <x v="36"/>
    <s v="China"/>
    <s v="Ningde"/>
    <s v="Batteries"/>
    <s v="Automotive"/>
    <x v="1"/>
    <x v="1"/>
    <s v="Zeng"/>
    <s v="Robin"/>
    <n v="33400"/>
    <n v="1969"/>
    <n v="1"/>
    <n v="1"/>
    <n v="125.08"/>
    <n v="19910000000000"/>
    <n v="77"/>
    <n v="9.4"/>
    <n v="59.2"/>
    <n v="1397715000"/>
    <x v="36"/>
    <d v="2025-12-27T00:00:00"/>
    <d v="1969-01-01T00:00:00"/>
  </r>
  <r>
    <n v="39"/>
    <x v="0"/>
    <x v="37"/>
    <s v="Japan"/>
    <s v="Tokyo"/>
    <s v="Fashion retail"/>
    <s v="Fashion &amp; Retail"/>
    <x v="1"/>
    <x v="1"/>
    <s v="Yanai"/>
    <s v="Tadashi"/>
    <n v="32600"/>
    <n v="1949"/>
    <n v="2"/>
    <n v="7"/>
    <n v="105.48"/>
    <n v="5081769542380"/>
    <n v="84.2"/>
    <n v="11.9"/>
    <n v="46.7"/>
    <n v="126226568"/>
    <x v="37"/>
    <d v="2025-12-27T00:00:00"/>
    <d v="1949-02-07T00:00:00"/>
  </r>
  <r>
    <n v="40"/>
    <x v="6"/>
    <x v="38"/>
    <s v="United Kingdom"/>
    <s v="London"/>
    <s v="Music, chemicals"/>
    <s v="Diversified"/>
    <x v="1"/>
    <x v="1"/>
    <s v="Blavatnik"/>
    <s v="Len"/>
    <n v="32100"/>
    <n v="1957"/>
    <n v="6"/>
    <n v="1"/>
    <n v="119.62"/>
    <n v="2827113184696"/>
    <n v="81.3"/>
    <n v="25.5"/>
    <n v="30.6"/>
    <n v="66834405"/>
    <x v="38"/>
    <d v="2025-12-27T00:00:00"/>
    <d v="1957-06-01T00:00:00"/>
  </r>
  <r>
    <n v="41"/>
    <x v="0"/>
    <x v="39"/>
    <s v="United States"/>
    <s v="New York"/>
    <s v="Chanel"/>
    <s v="Fashion &amp; Retail"/>
    <x v="0"/>
    <x v="1"/>
    <s v="Wertheimer"/>
    <s v="Alain"/>
    <n v="31600"/>
    <n v="1948"/>
    <n v="8"/>
    <n v="28"/>
    <n v="117.24"/>
    <n v="21427700000000"/>
    <n v="78.5"/>
    <n v="9.6"/>
    <n v="36.6"/>
    <n v="328239523"/>
    <x v="39"/>
    <d v="2025-12-27T00:00:00"/>
    <d v="1948-08-28T00:00:00"/>
  </r>
  <r>
    <n v="41"/>
    <x v="0"/>
    <x v="40"/>
    <s v="United States"/>
    <s v="New York"/>
    <s v="Chanel"/>
    <s v="Fashion &amp; Retail"/>
    <x v="0"/>
    <x v="1"/>
    <s v="Wertheimer"/>
    <s v="Gerard"/>
    <n v="31600"/>
    <n v="1951"/>
    <n v="1"/>
    <n v="9"/>
    <n v="117.24"/>
    <n v="21427700000000"/>
    <n v="78.5"/>
    <n v="9.6"/>
    <n v="36.6"/>
    <n v="328239523"/>
    <x v="40"/>
    <d v="2025-12-27T00:00:00"/>
    <d v="1951-01-09T00:00:00"/>
  </r>
  <r>
    <n v="43"/>
    <x v="8"/>
    <x v="41"/>
    <s v="Switzerland"/>
    <s v="Geneva"/>
    <s v="Shipping"/>
    <s v="Logistics"/>
    <x v="1"/>
    <x v="1"/>
    <s v="Aponte"/>
    <s v="Gianluigi"/>
    <n v="31200"/>
    <n v="1940"/>
    <n v="6"/>
    <n v="27"/>
    <n v="99.55"/>
    <n v="703082435360"/>
    <n v="83.6"/>
    <n v="10.1"/>
    <n v="28.8"/>
    <n v="8574832"/>
    <x v="41"/>
    <d v="2025-12-27T00:00:00"/>
    <d v="1940-06-27T00:00:00"/>
  </r>
  <r>
    <n v="43"/>
    <x v="8"/>
    <x v="42"/>
    <s v="Switzerland"/>
    <s v="Geneva"/>
    <s v="Shipping"/>
    <s v="Logistics"/>
    <x v="1"/>
    <x v="2"/>
    <s v="Aponte-Diamant"/>
    <s v="Rafaela"/>
    <n v="31200"/>
    <n v="1945"/>
    <n v="3"/>
    <n v="26"/>
    <n v="99.55"/>
    <n v="703082435360"/>
    <n v="83.6"/>
    <n v="10.1"/>
    <n v="28.8"/>
    <n v="8574832"/>
    <x v="42"/>
    <d v="2025-12-27T00:00:00"/>
    <d v="1945-03-26T00:00:00"/>
  </r>
  <r>
    <n v="45"/>
    <x v="2"/>
    <x v="43"/>
    <s v="China"/>
    <s v="Shanghai"/>
    <s v="E-commerce"/>
    <s v="Technology"/>
    <x v="1"/>
    <x v="1"/>
    <s v="Huang"/>
    <s v="Colin Zheng"/>
    <n v="30200"/>
    <n v="1980"/>
    <n v="2"/>
    <n v="2"/>
    <n v="125.08"/>
    <n v="19910000000000"/>
    <n v="77"/>
    <n v="9.4"/>
    <n v="59.2"/>
    <n v="1397715000"/>
    <x v="43"/>
    <d v="2025-12-27T00:00:00"/>
    <d v="1980-02-02T00:00:00"/>
  </r>
  <r>
    <n v="46"/>
    <x v="10"/>
    <x v="44"/>
    <s v="Germany"/>
    <s v="Kuenzelsau"/>
    <s v="Fasteners"/>
    <s v="Manufacturing"/>
    <x v="1"/>
    <x v="1"/>
    <s v="Wuerth"/>
    <s v="Reinhold"/>
    <n v="29700"/>
    <n v="1935"/>
    <n v="4"/>
    <n v="20"/>
    <n v="112.85"/>
    <n v="3845630030824"/>
    <n v="80.900000000000006"/>
    <n v="11.5"/>
    <n v="48.8"/>
    <n v="83132799"/>
    <x v="44"/>
    <d v="2025-12-27T00:00:00"/>
    <d v="1935-04-20T00:00:00"/>
  </r>
  <r>
    <n v="48"/>
    <x v="3"/>
    <x v="45"/>
    <s v="United States"/>
    <s v="Haverford"/>
    <s v="Trading, investments"/>
    <s v="Finance &amp; Investments"/>
    <x v="1"/>
    <x v="1"/>
    <s v="Yass"/>
    <s v="Jeff"/>
    <n v="28500"/>
    <n v="1958"/>
    <n v="7"/>
    <n v="17"/>
    <n v="117.24"/>
    <n v="21427700000000"/>
    <n v="78.5"/>
    <n v="9.6"/>
    <n v="36.6"/>
    <n v="328239523"/>
    <x v="45"/>
    <d v="2025-12-27T00:00:00"/>
    <d v="1958-07-17T00:00:00"/>
  </r>
  <r>
    <n v="49"/>
    <x v="3"/>
    <x v="46"/>
    <s v="United States"/>
    <s v="East Setauket"/>
    <s v="Hedge funds"/>
    <s v="Finance &amp; Investments"/>
    <x v="1"/>
    <x v="1"/>
    <s v="Simons"/>
    <s v="Jim"/>
    <n v="28100"/>
    <n v="1938"/>
    <n v="4"/>
    <n v="25"/>
    <n v="117.24"/>
    <n v="21427700000000"/>
    <n v="78.5"/>
    <n v="9.6"/>
    <n v="36.6"/>
    <n v="328239523"/>
    <x v="46"/>
    <d v="2025-12-27T00:00:00"/>
    <d v="1938-04-25T00:00:00"/>
  </r>
  <r>
    <n v="50"/>
    <x v="3"/>
    <x v="47"/>
    <s v="United States"/>
    <s v="New York"/>
    <s v="Investments"/>
    <s v="Finance &amp; Investments"/>
    <x v="1"/>
    <x v="1"/>
    <s v="Schwarzman"/>
    <s v="Stephen"/>
    <n v="27800"/>
    <n v="1947"/>
    <n v="2"/>
    <n v="14"/>
    <n v="117.24"/>
    <n v="21427700000000"/>
    <n v="78.5"/>
    <n v="9.6"/>
    <n v="36.6"/>
    <n v="328239523"/>
    <x v="47"/>
    <d v="2025-12-27T00:00:00"/>
    <d v="1947-02-14T00:00:00"/>
  </r>
  <r>
    <n v="51"/>
    <x v="1"/>
    <x v="48"/>
    <s v="Germany"/>
    <s v="Bad Homburg"/>
    <s v="BMW, pharmaceuticals"/>
    <s v="Automotive"/>
    <x v="0"/>
    <x v="2"/>
    <s v="Klatten"/>
    <s v="Susanne"/>
    <n v="27400"/>
    <n v="1962"/>
    <n v="4"/>
    <n v="28"/>
    <n v="112.85"/>
    <n v="3845630030824"/>
    <n v="80.900000000000006"/>
    <n v="11.5"/>
    <n v="48.8"/>
    <n v="83132799"/>
    <x v="48"/>
    <d v="2025-12-27T00:00:00"/>
    <d v="1962-04-28T00:00:00"/>
  </r>
  <r>
    <n v="52"/>
    <x v="11"/>
    <x v="49"/>
    <s v="Australia"/>
    <s v="Perth"/>
    <s v="Mining"/>
    <s v="Metals &amp; Mining"/>
    <x v="0"/>
    <x v="2"/>
    <s v="Rinehart"/>
    <s v="Gina"/>
    <n v="27000"/>
    <n v="1954"/>
    <n v="2"/>
    <n v="9"/>
    <n v="119.8"/>
    <n v="1392680589329"/>
    <n v="82.7"/>
    <n v="23"/>
    <n v="47.4"/>
    <n v="25766605"/>
    <x v="49"/>
    <d v="2025-12-27T00:00:00"/>
    <d v="1954-02-09T00:00:00"/>
  </r>
  <r>
    <n v="53"/>
    <x v="2"/>
    <x v="50"/>
    <s v="China"/>
    <s v="Hangzhou"/>
    <s v="Online games"/>
    <s v="Technology"/>
    <x v="1"/>
    <x v="1"/>
    <s v="Ding"/>
    <s v="William"/>
    <n v="26700"/>
    <n v="1971"/>
    <n v="10"/>
    <n v="1"/>
    <n v="125.08"/>
    <n v="19910000000000"/>
    <n v="77"/>
    <n v="9.4"/>
    <n v="59.2"/>
    <n v="1397715000"/>
    <x v="50"/>
    <d v="2025-12-27T00:00:00"/>
    <d v="1971-10-01T00:00:00"/>
  </r>
  <r>
    <n v="54"/>
    <x v="11"/>
    <x v="51"/>
    <s v="Mexico"/>
    <s v="Mexico City"/>
    <s v="Mining"/>
    <s v="Metals &amp; Mining"/>
    <x v="0"/>
    <x v="1"/>
    <s v="Larrea Mota Velasco"/>
    <s v="Germán"/>
    <n v="26600"/>
    <n v="1953"/>
    <n v="10"/>
    <n v="26"/>
    <n v="141.54"/>
    <n v="1258286717125"/>
    <n v="75"/>
    <n v="13.1"/>
    <n v="55.1"/>
    <n v="126014024"/>
    <x v="51"/>
    <d v="2025-12-27T00:00:00"/>
    <d v="1953-10-26T00:00:00"/>
  </r>
  <r>
    <n v="55"/>
    <x v="2"/>
    <x v="52"/>
    <s v="India"/>
    <s v="Delhi"/>
    <s v="software services"/>
    <s v="Technology"/>
    <x v="1"/>
    <x v="1"/>
    <s v="Nadar"/>
    <s v="Shiv"/>
    <n v="25600"/>
    <n v="1945"/>
    <n v="7"/>
    <n v="18"/>
    <n v="180.44"/>
    <n v="2611000000000"/>
    <n v="69.400000000000006"/>
    <n v="11.2"/>
    <n v="49.7"/>
    <n v="1366417754"/>
    <x v="52"/>
    <d v="2025-12-27T00:00:00"/>
    <d v="1945-07-18T00:00:00"/>
  </r>
  <r>
    <n v="56"/>
    <x v="12"/>
    <x v="53"/>
    <s v="Indonesia"/>
    <s v="Jakarta"/>
    <s v="Coal"/>
    <s v="Energy"/>
    <x v="1"/>
    <x v="1"/>
    <s v="Low Tuck"/>
    <s v="Kwong"/>
    <n v="25500"/>
    <n v="1948"/>
    <n v="4"/>
    <n v="17"/>
    <n v="151.18"/>
    <n v="1119190780753"/>
    <n v="71.5"/>
    <n v="10.199999999999999"/>
    <n v="30.1"/>
    <n v="270203917"/>
    <x v="53"/>
    <d v="2025-12-27T00:00:00"/>
    <d v="1948-04-17T00:00:00"/>
  </r>
  <r>
    <n v="57"/>
    <x v="3"/>
    <x v="54"/>
    <s v="United States"/>
    <s v="Palm Beach"/>
    <s v="Discount brokerage"/>
    <s v="Finance &amp; Investments"/>
    <x v="1"/>
    <x v="1"/>
    <s v="Peterffy"/>
    <s v="Thomas"/>
    <n v="25300"/>
    <n v="1944"/>
    <n v="9"/>
    <n v="30"/>
    <n v="117.24"/>
    <n v="21427700000000"/>
    <n v="78.5"/>
    <n v="9.6"/>
    <n v="36.6"/>
    <n v="328239523"/>
    <x v="54"/>
    <d v="2025-12-27T00:00:00"/>
    <d v="1944-09-30T00:00:00"/>
  </r>
  <r>
    <n v="58"/>
    <x v="11"/>
    <x v="55"/>
    <s v="United Arab Emirates"/>
    <s v="Ras Al Khaimah"/>
    <s v="Fertilizers, coal"/>
    <s v="Metals &amp; Mining"/>
    <x v="1"/>
    <x v="1"/>
    <s v="Melnichenko"/>
    <s v="Andrey"/>
    <n v="25200"/>
    <n v="1972"/>
    <n v="3"/>
    <n v="8"/>
    <n v="114.52"/>
    <n v="421142267938"/>
    <n v="77.8"/>
    <n v="0.1"/>
    <n v="15.9"/>
    <n v="9770529"/>
    <x v="55"/>
    <d v="2025-12-27T00:00:00"/>
    <d v="1972-03-08T00:00:00"/>
  </r>
  <r>
    <n v="59"/>
    <x v="1"/>
    <x v="56"/>
    <s v="Germany"/>
    <s v="Frankfurt"/>
    <s v="BMW"/>
    <s v="Automotive"/>
    <x v="0"/>
    <x v="1"/>
    <s v="Quandt"/>
    <s v="Stefan"/>
    <n v="24600"/>
    <n v="1966"/>
    <n v="5"/>
    <n v="9"/>
    <n v="112.85"/>
    <n v="3845630030824"/>
    <n v="80.900000000000006"/>
    <n v="11.5"/>
    <n v="48.8"/>
    <n v="83132799"/>
    <x v="56"/>
    <d v="2025-12-27T00:00:00"/>
    <d v="1966-05-09T00:00:00"/>
  </r>
  <r>
    <n v="60"/>
    <x v="2"/>
    <x v="57"/>
    <s v="United States"/>
    <s v="Seattle"/>
    <s v="Amazon"/>
    <s v="Technology"/>
    <x v="0"/>
    <x v="2"/>
    <s v="Scott"/>
    <s v="MacKenzie"/>
    <n v="24400"/>
    <n v="1970"/>
    <n v="4"/>
    <n v="7"/>
    <n v="117.24"/>
    <n v="21427700000000"/>
    <n v="78.5"/>
    <n v="9.6"/>
    <n v="36.6"/>
    <n v="328239523"/>
    <x v="57"/>
    <d v="2025-12-27T00:00:00"/>
    <d v="1970-04-07T00:00:00"/>
  </r>
  <r>
    <n v="61"/>
    <x v="3"/>
    <x v="58"/>
    <s v="Indonesia"/>
    <s v="Kudus"/>
    <s v="Banking, tobacco"/>
    <s v="Finance &amp; Investments"/>
    <x v="0"/>
    <x v="1"/>
    <s v="Hartono"/>
    <s v="R. Budi"/>
    <n v="24200"/>
    <n v="1941"/>
    <n v="1"/>
    <n v="1"/>
    <n v="151.18"/>
    <n v="1119190780753"/>
    <n v="71.5"/>
    <n v="10.199999999999999"/>
    <n v="30.1"/>
    <n v="270203917"/>
    <x v="58"/>
    <d v="2025-12-27T00:00:00"/>
    <d v="1941-01-01T00:00:00"/>
  </r>
  <r>
    <n v="62"/>
    <x v="11"/>
    <x v="59"/>
    <s v="Russia"/>
    <s v="Moscow"/>
    <s v="Metals"/>
    <s v="Metals &amp; Mining"/>
    <x v="1"/>
    <x v="1"/>
    <s v="Potanin"/>
    <s v="Vladimir"/>
    <n v="23700"/>
    <n v="1961"/>
    <n v="1"/>
    <n v="3"/>
    <n v="180.75"/>
    <n v="1699876578871"/>
    <n v="72.7"/>
    <n v="11.4"/>
    <n v="46.2"/>
    <n v="144373535"/>
    <x v="59"/>
    <d v="2025-12-27T00:00:00"/>
    <d v="1961-01-03T00:00:00"/>
  </r>
  <r>
    <n v="63"/>
    <x v="2"/>
    <x v="60"/>
    <s v="China"/>
    <s v="Hangzhou"/>
    <s v="E-commerce"/>
    <s v="Technology"/>
    <x v="1"/>
    <x v="1"/>
    <s v="Ma"/>
    <s v="Jack"/>
    <n v="23500"/>
    <n v="1964"/>
    <n v="9"/>
    <n v="10"/>
    <n v="125.08"/>
    <n v="19910000000000"/>
    <n v="77"/>
    <n v="9.4"/>
    <n v="59.2"/>
    <n v="1397715000"/>
    <x v="60"/>
    <d v="2025-12-27T00:00:00"/>
    <d v="1964-09-10T00:00:00"/>
  </r>
  <r>
    <n v="64"/>
    <x v="10"/>
    <x v="61"/>
    <s v="China"/>
    <s v="Foshan"/>
    <s v="Home appliances"/>
    <s v="Manufacturing"/>
    <x v="1"/>
    <x v="1"/>
    <s v="He"/>
    <s v="Xiangjian"/>
    <n v="23400"/>
    <n v="1942"/>
    <n v="8"/>
    <n v="11"/>
    <n v="125.08"/>
    <n v="19910000000000"/>
    <n v="77"/>
    <n v="9.4"/>
    <n v="59.2"/>
    <n v="1397715000"/>
    <x v="61"/>
    <d v="2025-12-27T00:00:00"/>
    <d v="1942-08-11T00:00:00"/>
  </r>
  <r>
    <n v="65"/>
    <x v="11"/>
    <x v="62"/>
    <s v="Chile"/>
    <s v="Santiago"/>
    <s v="Mining"/>
    <s v="Metals &amp; Mining"/>
    <x v="0"/>
    <x v="2"/>
    <s v="Fontbona"/>
    <s v="Iris"/>
    <n v="23100"/>
    <n v="1943"/>
    <n v="1"/>
    <n v="1"/>
    <n v="131.91"/>
    <n v="282318159745"/>
    <n v="80"/>
    <n v="18.2"/>
    <n v="34"/>
    <n v="18952038"/>
    <x v="62"/>
    <d v="2025-12-27T00:00:00"/>
    <d v="1943-01-01T00:00:00"/>
  </r>
  <r>
    <n v="65"/>
    <x v="10"/>
    <x v="63"/>
    <s v="Indonesia"/>
    <s v="Kudus"/>
    <s v="Banking, tobacco"/>
    <s v="Manufacturing"/>
    <x v="0"/>
    <x v="1"/>
    <s v="Hartono"/>
    <s v="Michael"/>
    <n v="23100"/>
    <n v="1939"/>
    <n v="10"/>
    <n v="2"/>
    <n v="151.18"/>
    <n v="1119190780753"/>
    <n v="71.5"/>
    <n v="10.199999999999999"/>
    <n v="30.1"/>
    <n v="270203917"/>
    <x v="63"/>
    <d v="2025-12-27T00:00:00"/>
    <d v="1939-10-02T00:00:00"/>
  </r>
  <r>
    <n v="67"/>
    <x v="10"/>
    <x v="64"/>
    <s v="United Kingdom"/>
    <s v="London"/>
    <s v="Chemicals"/>
    <s v="Manufacturing"/>
    <x v="1"/>
    <x v="1"/>
    <s v="Ratcliffe"/>
    <s v="James"/>
    <n v="22900"/>
    <n v="1953"/>
    <n v="1"/>
    <n v="1"/>
    <n v="119.62"/>
    <n v="2827113184696"/>
    <n v="81.3"/>
    <n v="25.5"/>
    <n v="30.6"/>
    <n v="66834405"/>
    <x v="64"/>
    <d v="2025-12-27T00:00:00"/>
    <d v="1953-01-01T00:00:00"/>
  </r>
  <r>
    <n v="68"/>
    <x v="13"/>
    <x v="65"/>
    <s v="India"/>
    <s v="Pune"/>
    <s v="Vaccines"/>
    <s v="Healthcare"/>
    <x v="0"/>
    <x v="1"/>
    <s v="Poonawalla"/>
    <s v="Cyrus"/>
    <n v="22600"/>
    <n v="1941"/>
    <n v="5"/>
    <n v="11"/>
    <n v="180.44"/>
    <n v="2611000000000"/>
    <n v="69.400000000000006"/>
    <n v="11.2"/>
    <n v="49.7"/>
    <n v="1366417754"/>
    <x v="65"/>
    <d v="2025-12-27T00:00:00"/>
    <d v="1941-05-11T00:00:00"/>
  </r>
  <r>
    <n v="69"/>
    <x v="5"/>
    <x v="66"/>
    <s v="Japan"/>
    <s v="Tokyo"/>
    <s v="Internet, telecom"/>
    <s v="Telecom"/>
    <x v="1"/>
    <x v="1"/>
    <s v="Son"/>
    <s v="Masayoshi"/>
    <n v="22400"/>
    <n v="1957"/>
    <n v="8"/>
    <n v="11"/>
    <n v="105.48"/>
    <n v="5081769542380"/>
    <n v="84.2"/>
    <n v="11.9"/>
    <n v="46.7"/>
    <n v="126226568"/>
    <x v="66"/>
    <d v="2025-12-27T00:00:00"/>
    <d v="1957-08-11T00:00:00"/>
  </r>
  <r>
    <n v="70"/>
    <x v="11"/>
    <x v="67"/>
    <s v="Russia"/>
    <s v="Moscow"/>
    <s v="Steel, transport"/>
    <s v="Metals &amp; Mining"/>
    <x v="1"/>
    <x v="1"/>
    <s v="Lisin"/>
    <s v="Vladimir"/>
    <n v="22100"/>
    <n v="1956"/>
    <n v="5"/>
    <n v="7"/>
    <n v="180.75"/>
    <n v="1699876578871"/>
    <n v="72.7"/>
    <n v="11.4"/>
    <n v="46.2"/>
    <n v="144373535"/>
    <x v="67"/>
    <d v="2025-12-27T00:00:00"/>
    <d v="1956-05-07T00:00:00"/>
  </r>
  <r>
    <n v="71"/>
    <x v="7"/>
    <x v="68"/>
    <s v="France"/>
    <s v="Laval"/>
    <s v="Cheese"/>
    <s v="Food &amp; Beverage"/>
    <x v="0"/>
    <x v="1"/>
    <s v="Besnier"/>
    <s v="Emmanuel"/>
    <n v="22000"/>
    <n v="1970"/>
    <n v="9"/>
    <n v="18"/>
    <n v="110.05"/>
    <n v="2715518274227"/>
    <n v="82.5"/>
    <n v="24.2"/>
    <n v="60.7"/>
    <n v="67059887"/>
    <x v="68"/>
    <d v="2025-12-27T00:00:00"/>
    <d v="1970-09-18T00:00:00"/>
  </r>
  <r>
    <n v="72"/>
    <x v="3"/>
    <x v="69"/>
    <s v="United States"/>
    <s v="Milton"/>
    <s v="Fidelity"/>
    <s v="Finance &amp; Investments"/>
    <x v="0"/>
    <x v="2"/>
    <s v="Johnson"/>
    <s v="Abigail"/>
    <n v="21600"/>
    <n v="1961"/>
    <n v="12"/>
    <n v="19"/>
    <n v="117.24"/>
    <n v="21427700000000"/>
    <n v="78.5"/>
    <n v="9.6"/>
    <n v="36.6"/>
    <n v="328239523"/>
    <x v="69"/>
    <d v="2025-12-27T00:00:00"/>
    <d v="1961-12-19T00:00:00"/>
  </r>
  <r>
    <n v="72"/>
    <x v="12"/>
    <x v="70"/>
    <s v="Russia"/>
    <s v="Moscow"/>
    <s v="Gas, chemicals"/>
    <s v="Energy"/>
    <x v="1"/>
    <x v="1"/>
    <s v="Mikhelson"/>
    <s v="Leonid"/>
    <n v="21600"/>
    <n v="1955"/>
    <n v="8"/>
    <n v="11"/>
    <n v="180.75"/>
    <n v="1699876578871"/>
    <n v="72.7"/>
    <n v="11.4"/>
    <n v="46.2"/>
    <n v="144373535"/>
    <x v="70"/>
    <d v="2025-12-27T00:00:00"/>
    <d v="1955-08-11T00:00:00"/>
  </r>
  <r>
    <n v="74"/>
    <x v="0"/>
    <x v="71"/>
    <s v="United States"/>
    <s v="Chicago"/>
    <s v="Walmart"/>
    <s v="Fashion &amp; Retail"/>
    <x v="0"/>
    <x v="1"/>
    <s v="Walton"/>
    <s v="Lukas"/>
    <n v="21200"/>
    <n v="1986"/>
    <n v="9"/>
    <n v="19"/>
    <n v="117.24"/>
    <n v="21427700000000"/>
    <n v="78.5"/>
    <n v="9.6"/>
    <n v="36.6"/>
    <n v="328239523"/>
    <x v="71"/>
    <d v="2025-12-27T00:00:00"/>
    <d v="1986-09-19T00:00:00"/>
  </r>
  <r>
    <n v="74"/>
    <x v="14"/>
    <x v="72"/>
    <s v="China"/>
    <s v="Shenzhen"/>
    <s v="Package delivery"/>
    <s v="Service"/>
    <x v="1"/>
    <x v="1"/>
    <s v="Wang"/>
    <s v="Wei"/>
    <n v="21200"/>
    <n v="1970"/>
    <n v="10"/>
    <n v="1"/>
    <n v="125.08"/>
    <n v="19910000000000"/>
    <n v="77"/>
    <n v="9.4"/>
    <n v="59.2"/>
    <n v="1397715000"/>
    <x v="72"/>
    <d v="2025-12-27T00:00:00"/>
    <d v="1970-10-01T00:00:00"/>
  </r>
  <r>
    <n v="76"/>
    <x v="2"/>
    <x v="73"/>
    <s v="United States"/>
    <s v="Los Altos"/>
    <s v="Semiconductors"/>
    <s v="Technology"/>
    <x v="1"/>
    <x v="1"/>
    <s v="Huang"/>
    <s v="Jensen"/>
    <n v="21100"/>
    <n v="1963"/>
    <n v="2"/>
    <n v="17"/>
    <n v="117.24"/>
    <n v="21427700000000"/>
    <n v="78.5"/>
    <n v="9.6"/>
    <n v="36.6"/>
    <n v="328239523"/>
    <x v="73"/>
    <d v="2025-12-27T00:00:00"/>
    <d v="1963-02-17T00:00:00"/>
  </r>
  <r>
    <n v="77"/>
    <x v="0"/>
    <x v="74"/>
    <s v="United States"/>
    <s v="New York"/>
    <s v="Estee Lauder"/>
    <s v="Fashion &amp; Retail"/>
    <x v="0"/>
    <x v="1"/>
    <s v="Lauder"/>
    <s v="Leonard"/>
    <n v="21000"/>
    <n v="1933"/>
    <n v="3"/>
    <n v="19"/>
    <n v="117.24"/>
    <n v="21427700000000"/>
    <n v="78.5"/>
    <n v="9.6"/>
    <n v="36.6"/>
    <n v="328239523"/>
    <x v="74"/>
    <d v="2025-12-27T00:00:00"/>
    <d v="1933-03-19T00:00:00"/>
  </r>
  <r>
    <n v="77"/>
    <x v="10"/>
    <x v="75"/>
    <s v="Japan"/>
    <s v="Osaka"/>
    <s v="Sensors"/>
    <s v="Manufacturing"/>
    <x v="1"/>
    <x v="1"/>
    <s v="Takizaki"/>
    <s v="Takemitsu"/>
    <n v="21000"/>
    <n v="1945"/>
    <n v="6"/>
    <n v="10"/>
    <n v="105.48"/>
    <n v="5081769542380"/>
    <n v="84.2"/>
    <n v="11.9"/>
    <n v="46.7"/>
    <n v="126226568"/>
    <x v="75"/>
    <d v="2025-12-27T00:00:00"/>
    <d v="1945-06-10T00:00:00"/>
  </r>
  <r>
    <n v="79"/>
    <x v="11"/>
    <x v="76"/>
    <s v="Russia"/>
    <s v="Moscow"/>
    <s v="Steel, investments"/>
    <s v="Metals &amp; Mining"/>
    <x v="1"/>
    <x v="1"/>
    <s v="Mordashov"/>
    <s v="Alexey"/>
    <n v="20900"/>
    <n v="1965"/>
    <n v="9"/>
    <n v="26"/>
    <n v="180.75"/>
    <n v="1699876578871"/>
    <n v="72.7"/>
    <n v="11.4"/>
    <n v="46.2"/>
    <n v="144373535"/>
    <x v="76"/>
    <d v="2025-12-27T00:00:00"/>
    <d v="1965-09-26T00:00:00"/>
  </r>
  <r>
    <n v="80"/>
    <x v="12"/>
    <x v="77"/>
    <s v="Russia"/>
    <s v="Moscow"/>
    <s v="Oil"/>
    <s v="Energy"/>
    <x v="1"/>
    <x v="1"/>
    <s v="Alekperov"/>
    <s v="Vagit"/>
    <n v="20500"/>
    <n v="1950"/>
    <n v="9"/>
    <n v="1"/>
    <n v="180.75"/>
    <n v="1699876578871"/>
    <n v="72.7"/>
    <n v="11.4"/>
    <n v="46.2"/>
    <n v="144373535"/>
    <x v="77"/>
    <d v="2025-12-27T00:00:00"/>
    <d v="1950-09-01T00:00:00"/>
  </r>
  <r>
    <n v="81"/>
    <x v="13"/>
    <x v="78"/>
    <s v="United States"/>
    <s v="Nashville"/>
    <s v="Hospitals"/>
    <s v="Healthcare"/>
    <x v="1"/>
    <x v="1"/>
    <s v="Frist"/>
    <s v="Thomas"/>
    <n v="20200"/>
    <n v="1938"/>
    <n v="8"/>
    <n v="12"/>
    <n v="117.24"/>
    <n v="21427700000000"/>
    <n v="78.5"/>
    <n v="9.6"/>
    <n v="36.6"/>
    <n v="328239523"/>
    <x v="78"/>
    <d v="2025-12-27T00:00:00"/>
    <d v="1938-08-12T00:00:00"/>
  </r>
  <r>
    <n v="82"/>
    <x v="11"/>
    <x v="79"/>
    <s v="Australia"/>
    <s v="Perth"/>
    <s v="Mining"/>
    <s v="Metals &amp; Mining"/>
    <x v="1"/>
    <x v="1"/>
    <s v="Forrest"/>
    <s v="Andrew"/>
    <n v="19600"/>
    <n v="1961"/>
    <n v="11"/>
    <n v="18"/>
    <n v="119.8"/>
    <n v="1392680589329"/>
    <n v="82.7"/>
    <n v="23"/>
    <n v="47.4"/>
    <n v="25766605"/>
    <x v="79"/>
    <d v="2025-12-27T00:00:00"/>
    <d v="1961-11-18T00:00:00"/>
  </r>
  <r>
    <n v="83"/>
    <x v="3"/>
    <x v="80"/>
    <s v="United States"/>
    <s v="Greenwich"/>
    <s v="Hedge funds"/>
    <s v="Finance &amp; Investments"/>
    <x v="1"/>
    <x v="1"/>
    <s v="Dalio"/>
    <s v="Ray"/>
    <n v="19100"/>
    <n v="1949"/>
    <n v="8"/>
    <n v="8"/>
    <n v="117.24"/>
    <n v="21427700000000"/>
    <n v="78.5"/>
    <n v="9.6"/>
    <n v="36.6"/>
    <n v="328239523"/>
    <x v="80"/>
    <d v="2025-12-27T00:00:00"/>
    <d v="1949-08-08T00:00:00"/>
  </r>
  <r>
    <n v="84"/>
    <x v="1"/>
    <x v="81"/>
    <s v="China"/>
    <s v="Hangzhou"/>
    <s v="Automobiles"/>
    <s v="Automotive"/>
    <x v="1"/>
    <x v="1"/>
    <s v="Li"/>
    <s v="Eric"/>
    <n v="19000"/>
    <n v="1963"/>
    <n v="6"/>
    <n v="1"/>
    <n v="125.08"/>
    <n v="19910000000000"/>
    <n v="77"/>
    <n v="9.4"/>
    <n v="59.2"/>
    <n v="1397715000"/>
    <x v="81"/>
    <d v="2025-12-27T00:00:00"/>
    <d v="1963-06-01T00:00:00"/>
  </r>
  <r>
    <n v="84"/>
    <x v="11"/>
    <x v="82"/>
    <s v="China"/>
    <s v="Shenzhen"/>
    <s v="Mining, copper products"/>
    <s v="Metals &amp; Mining"/>
    <x v="1"/>
    <x v="1"/>
    <s v="Wang"/>
    <s v="Wenyin"/>
    <n v="19000"/>
    <n v="1968"/>
    <n v="3"/>
    <n v="1"/>
    <n v="125.08"/>
    <n v="19910000000000"/>
    <n v="77"/>
    <n v="9.4"/>
    <n v="59.2"/>
    <n v="1397715000"/>
    <x v="82"/>
    <d v="2025-12-27T00:00:00"/>
    <d v="1968-03-01T00:00:00"/>
  </r>
  <r>
    <n v="86"/>
    <x v="7"/>
    <x v="83"/>
    <s v="China"/>
    <s v="Nanyang"/>
    <s v="Pig breeding"/>
    <s v="Food &amp; Beverage"/>
    <x v="1"/>
    <x v="1"/>
    <s v="Qin"/>
    <s v="Yinglin"/>
    <n v="18900"/>
    <n v="1965"/>
    <n v="4"/>
    <n v="17"/>
    <n v="125.08"/>
    <n v="19910000000000"/>
    <n v="77"/>
    <n v="9.4"/>
    <n v="59.2"/>
    <n v="1397715000"/>
    <x v="83"/>
    <d v="2025-12-27T00:00:00"/>
    <d v="1965-04-17T00:00:00"/>
  </r>
  <r>
    <n v="88"/>
    <x v="1"/>
    <x v="84"/>
    <s v="China"/>
    <s v="Shenzhen"/>
    <s v="Batteries, automobiles"/>
    <s v="Automotive"/>
    <x v="1"/>
    <x v="1"/>
    <s v="Wang"/>
    <s v="Chuanfu"/>
    <n v="18700"/>
    <n v="1966"/>
    <n v="2"/>
    <n v="15"/>
    <n v="125.08"/>
    <n v="19910000000000"/>
    <n v="77"/>
    <n v="9.4"/>
    <n v="59.2"/>
    <n v="1397715000"/>
    <x v="84"/>
    <d v="2025-12-27T00:00:00"/>
    <d v="1966-02-15T00:00:00"/>
  </r>
  <r>
    <n v="89"/>
    <x v="12"/>
    <x v="85"/>
    <s v="United States"/>
    <s v="Oklahoma City"/>
    <s v="Oil &amp; gas"/>
    <s v="Energy"/>
    <x v="1"/>
    <x v="1"/>
    <s v="Hamm"/>
    <s v="Harold"/>
    <n v="18500"/>
    <n v="1945"/>
    <n v="12"/>
    <n v="11"/>
    <n v="117.24"/>
    <n v="21427700000000"/>
    <n v="78.5"/>
    <n v="9.6"/>
    <n v="36.6"/>
    <n v="328239523"/>
    <x v="85"/>
    <d v="2025-12-27T00:00:00"/>
    <d v="1945-12-11T00:00:00"/>
  </r>
  <r>
    <n v="89"/>
    <x v="3"/>
    <x v="86"/>
    <s v="United States"/>
    <s v="Palm Beach"/>
    <s v="Hedge funds"/>
    <s v="Finance &amp; Investments"/>
    <x v="1"/>
    <x v="1"/>
    <s v="Tepper"/>
    <s v="David"/>
    <n v="18500"/>
    <n v="1957"/>
    <n v="9"/>
    <n v="11"/>
    <n v="117.24"/>
    <n v="21427700000000"/>
    <n v="78.5"/>
    <n v="9.6"/>
    <n v="36.6"/>
    <n v="328239523"/>
    <x v="86"/>
    <d v="2025-12-27T00:00:00"/>
    <d v="1957-09-11T00:00:00"/>
  </r>
  <r>
    <n v="89"/>
    <x v="12"/>
    <x v="87"/>
    <s v="Russia"/>
    <s v="Moscow"/>
    <s v="Oil, gas"/>
    <s v="Energy"/>
    <x v="1"/>
    <x v="1"/>
    <s v="Timchenko"/>
    <s v="Gennady"/>
    <n v="18500"/>
    <n v="1952"/>
    <n v="11"/>
    <n v="9"/>
    <n v="180.75"/>
    <n v="1699876578871"/>
    <n v="72.7"/>
    <n v="11.4"/>
    <n v="46.2"/>
    <n v="144373535"/>
    <x v="87"/>
    <d v="2025-12-27T00:00:00"/>
    <d v="1952-11-09T00:00:00"/>
  </r>
  <r>
    <n v="92"/>
    <x v="3"/>
    <x v="88"/>
    <s v="United States"/>
    <s v="Franklin"/>
    <s v="Quicken Loans"/>
    <s v="Finance &amp; Investments"/>
    <x v="1"/>
    <x v="1"/>
    <s v="Gilbert"/>
    <s v="Daniel"/>
    <n v="18000"/>
    <n v="1962"/>
    <n v="1"/>
    <n v="17"/>
    <n v="117.24"/>
    <n v="21427700000000"/>
    <n v="78.5"/>
    <n v="9.6"/>
    <n v="36.6"/>
    <n v="328239523"/>
    <x v="88"/>
    <d v="2025-12-27T00:00:00"/>
    <d v="1962-01-17T00:00:00"/>
  </r>
  <r>
    <n v="93"/>
    <x v="11"/>
    <x v="89"/>
    <s v="United Kingdom"/>
    <s v="London"/>
    <s v="Steel"/>
    <s v="Metals &amp; Mining"/>
    <x v="0"/>
    <x v="1"/>
    <s v="Mittal"/>
    <s v="Lakshmi"/>
    <n v="17700"/>
    <n v="1950"/>
    <n v="6"/>
    <n v="15"/>
    <n v="119.62"/>
    <n v="2827113184696"/>
    <n v="81.3"/>
    <n v="25.5"/>
    <n v="30.6"/>
    <n v="66834405"/>
    <x v="89"/>
    <d v="2025-12-27T00:00:00"/>
    <d v="1950-06-15T00:00:00"/>
  </r>
  <r>
    <n v="94"/>
    <x v="3"/>
    <x v="90"/>
    <s v="United States"/>
    <s v="Greenwich"/>
    <s v="Hedge funds"/>
    <s v="Finance &amp; Investments"/>
    <x v="1"/>
    <x v="1"/>
    <s v="Cohen"/>
    <s v="Steve"/>
    <n v="17500"/>
    <n v="1956"/>
    <n v="6"/>
    <n v="11"/>
    <n v="117.24"/>
    <n v="21427700000000"/>
    <n v="78.5"/>
    <n v="9.6"/>
    <n v="36.6"/>
    <n v="328239523"/>
    <x v="90"/>
    <d v="2025-12-27T00:00:00"/>
    <d v="1956-06-11T00:00:00"/>
  </r>
  <r>
    <n v="94"/>
    <x v="3"/>
    <x v="91"/>
    <s v="United States"/>
    <s v="Indian Creek"/>
    <s v="Investments"/>
    <s v="Finance &amp; Investments"/>
    <x v="1"/>
    <x v="1"/>
    <s v="Icahn"/>
    <s v="Carl"/>
    <n v="17500"/>
    <n v="1936"/>
    <n v="2"/>
    <n v="16"/>
    <n v="117.24"/>
    <n v="21427700000000"/>
    <n v="78.5"/>
    <n v="9.6"/>
    <n v="36.6"/>
    <n v="328239523"/>
    <x v="91"/>
    <d v="2025-12-27T00:00:00"/>
    <d v="1936-02-16T00:00:00"/>
  </r>
  <r>
    <n v="94"/>
    <x v="11"/>
    <x v="92"/>
    <s v="India"/>
    <s v="Hisar"/>
    <s v="Steel"/>
    <s v="Metals &amp; Mining"/>
    <x v="0"/>
    <x v="2"/>
    <s v="Jindal"/>
    <s v="Savitri"/>
    <n v="17500"/>
    <n v="1950"/>
    <n v="3"/>
    <n v="20"/>
    <n v="180.44"/>
    <n v="2611000000000"/>
    <n v="69.400000000000006"/>
    <n v="11.2"/>
    <n v="49.7"/>
    <n v="1366417754"/>
    <x v="92"/>
    <d v="2025-12-27T00:00:00"/>
    <d v="1950-03-20T00:00:00"/>
  </r>
  <r>
    <n v="97"/>
    <x v="15"/>
    <x v="93"/>
    <s v="United States"/>
    <s v="Newport Beach"/>
    <s v="Real estate"/>
    <s v="Real Estate"/>
    <x v="1"/>
    <x v="1"/>
    <s v="Bren"/>
    <s v="Donald"/>
    <n v="17400"/>
    <n v="1932"/>
    <n v="5"/>
    <n v="11"/>
    <n v="117.24"/>
    <n v="21427700000000"/>
    <n v="78.5"/>
    <n v="9.6"/>
    <n v="36.6"/>
    <n v="328239523"/>
    <x v="93"/>
    <d v="2025-12-27T00:00:00"/>
    <d v="1932-05-11T00:00:00"/>
  </r>
  <r>
    <n v="97"/>
    <x v="0"/>
    <x v="94"/>
    <s v="United States"/>
    <s v="Eau Claire"/>
    <s v="Home improvement stores"/>
    <s v="Fashion &amp; Retail"/>
    <x v="1"/>
    <x v="1"/>
    <s v="Menard"/>
    <s v="John"/>
    <n v="17400"/>
    <n v="1940"/>
    <n v="1"/>
    <n v="22"/>
    <n v="117.24"/>
    <n v="21427700000000"/>
    <n v="78.5"/>
    <n v="9.6"/>
    <n v="36.6"/>
    <n v="328239523"/>
    <x v="94"/>
    <d v="2025-12-27T00:00:00"/>
    <d v="1940-01-22T00:00:00"/>
  </r>
  <r>
    <n v="99"/>
    <x v="4"/>
    <x v="95"/>
    <s v="United States"/>
    <s v="New York"/>
    <s v="Newspapers, TV network"/>
    <s v="Media &amp; Entertainment"/>
    <x v="0"/>
    <x v="1"/>
    <s v="Murdoch"/>
    <s v="Rupert"/>
    <n v="17100"/>
    <n v="1931"/>
    <n v="3"/>
    <n v="11"/>
    <n v="117.24"/>
    <n v="21427700000000"/>
    <n v="78.5"/>
    <n v="9.6"/>
    <n v="36.6"/>
    <n v="328239523"/>
    <x v="95"/>
    <d v="2025-12-27T00:00:00"/>
    <d v="1931-03-11T00:00:00"/>
  </r>
  <r>
    <n v="100"/>
    <x v="3"/>
    <x v="96"/>
    <s v="Switzerland"/>
    <s v="Crans-Montana"/>
    <s v="Banking"/>
    <s v="Finance &amp; Investments"/>
    <x v="0"/>
    <x v="2"/>
    <s v="Safra"/>
    <s v="Vicky"/>
    <n v="16700"/>
    <n v="1953"/>
    <n v="1"/>
    <n v="1"/>
    <n v="99.55"/>
    <n v="703082435360"/>
    <n v="83.6"/>
    <n v="10.1"/>
    <n v="28.8"/>
    <n v="8574832"/>
    <x v="64"/>
    <d v="2025-12-27T00:00:00"/>
    <d v="1953-01-01T00:00:00"/>
  </r>
  <r>
    <n v="101"/>
    <x v="0"/>
    <x v="97"/>
    <s v="Germany"/>
    <s v="Mulheim an der Ruhr"/>
    <s v="Aldi, Trader Joe's"/>
    <s v="Fashion &amp; Retail"/>
    <x v="0"/>
    <x v="1"/>
    <s v="Albrecht"/>
    <s v="Theo"/>
    <n v="16500"/>
    <n v="1951"/>
    <n v="1"/>
    <n v="1"/>
    <n v="112.85"/>
    <n v="3845630030824"/>
    <n v="80.900000000000006"/>
    <n v="11.5"/>
    <n v="48.8"/>
    <n v="83132799"/>
    <x v="96"/>
    <d v="2025-12-27T00:00:00"/>
    <d v="1951-01-01T00:00:00"/>
  </r>
  <r>
    <n v="101"/>
    <x v="3"/>
    <x v="98"/>
    <s v="Czech Republic"/>
    <s v="Prague"/>
    <s v="Finance, telecommunications"/>
    <s v="Finance &amp; Investments"/>
    <x v="0"/>
    <x v="2"/>
    <s v="Kellnerova"/>
    <s v="Renata"/>
    <n v="16500"/>
    <n v="1967"/>
    <n v="7"/>
    <n v="4"/>
    <n v="116.48"/>
    <n v="246489245495"/>
    <n v="79"/>
    <n v="14.9"/>
    <n v="46.1"/>
    <n v="10669709"/>
    <x v="97"/>
    <d v="2025-12-27T00:00:00"/>
    <d v="1967-07-04T00:00:00"/>
  </r>
  <r>
    <n v="103"/>
    <x v="13"/>
    <x v="99"/>
    <s v="China"/>
    <s v="Shenzhen"/>
    <s v="medical devices"/>
    <s v="Healthcare"/>
    <x v="1"/>
    <x v="1"/>
    <s v="Li"/>
    <s v="Xiting"/>
    <n v="16300"/>
    <n v="1951"/>
    <n v="1"/>
    <n v="1"/>
    <n v="125.08"/>
    <n v="19910000000000"/>
    <n v="77"/>
    <n v="9.4"/>
    <n v="59.2"/>
    <n v="1397715000"/>
    <x v="96"/>
    <d v="2025-12-27T00:00:00"/>
    <d v="1951-01-01T00:00:00"/>
  </r>
  <r>
    <n v="104"/>
    <x v="0"/>
    <x v="100"/>
    <s v="Sweden"/>
    <s v="Stockholm"/>
    <s v="H&amp;M"/>
    <s v="Fashion &amp; Retail"/>
    <x v="0"/>
    <x v="1"/>
    <s v="Persson"/>
    <s v="Stefan"/>
    <n v="16200"/>
    <n v="1947"/>
    <n v="10"/>
    <n v="4"/>
    <n v="110.51"/>
    <n v="530832908738"/>
    <n v="82.5"/>
    <n v="27.9"/>
    <n v="49.1"/>
    <n v="10285453"/>
    <x v="98"/>
    <d v="2025-12-27T00:00:00"/>
    <d v="1947-10-04T00:00:00"/>
  </r>
  <r>
    <n v="104"/>
    <x v="2"/>
    <x v="101"/>
    <s v="United States"/>
    <s v="Atherton"/>
    <s v="Google"/>
    <s v="Technology"/>
    <x v="1"/>
    <x v="1"/>
    <s v="Schmidt"/>
    <s v="Eric"/>
    <n v="16200"/>
    <n v="1955"/>
    <n v="4"/>
    <n v="27"/>
    <n v="117.24"/>
    <n v="21427700000000"/>
    <n v="78.5"/>
    <n v="9.6"/>
    <n v="36.6"/>
    <n v="328239523"/>
    <x v="99"/>
    <d v="2025-12-27T00:00:00"/>
    <d v="1955-04-27T00:00:00"/>
  </r>
  <r>
    <n v="106"/>
    <x v="3"/>
    <x v="102"/>
    <s v="Switzerland"/>
    <s v="Geneva"/>
    <s v="Hedge funds"/>
    <s v="Finance &amp; Investments"/>
    <x v="1"/>
    <x v="1"/>
    <s v="Platt"/>
    <s v="Michael"/>
    <n v="16000"/>
    <n v="1968"/>
    <n v="3"/>
    <n v="18"/>
    <n v="99.55"/>
    <n v="703082435360"/>
    <n v="83.6"/>
    <n v="10.1"/>
    <n v="28.8"/>
    <n v="8574832"/>
    <x v="100"/>
    <d v="2025-12-27T00:00:00"/>
    <d v="1968-03-18T00:00:00"/>
  </r>
  <r>
    <n v="107"/>
    <x v="7"/>
    <x v="103"/>
    <s v="China"/>
    <s v="Foshan"/>
    <s v="Soy sauce"/>
    <s v="Food &amp; Beverage"/>
    <x v="1"/>
    <x v="1"/>
    <s v="Pang"/>
    <s v="Kang"/>
    <n v="15900"/>
    <n v="1956"/>
    <n v="1"/>
    <n v="19"/>
    <n v="125.08"/>
    <n v="19910000000000"/>
    <n v="77"/>
    <n v="9.4"/>
    <n v="59.2"/>
    <n v="1397715000"/>
    <x v="101"/>
    <d v="2025-12-27T00:00:00"/>
    <d v="1956-01-19T00:00:00"/>
  </r>
  <r>
    <n v="108"/>
    <x v="7"/>
    <x v="104"/>
    <s v="Switzerland"/>
    <s v="Zurich"/>
    <s v="Beer"/>
    <s v="Food &amp; Beverage"/>
    <x v="1"/>
    <x v="1"/>
    <s v="Lemann"/>
    <s v="Jorge Paulo"/>
    <n v="15800"/>
    <n v="1939"/>
    <n v="8"/>
    <n v="26"/>
    <n v="99.55"/>
    <n v="703082435360"/>
    <n v="83.6"/>
    <n v="10.1"/>
    <n v="28.8"/>
    <n v="8574832"/>
    <x v="102"/>
    <d v="2025-12-27T00:00:00"/>
    <d v="1939-08-26T00:00:00"/>
  </r>
  <r>
    <n v="112"/>
    <x v="13"/>
    <x v="105"/>
    <s v="India"/>
    <s v="Mumbai"/>
    <s v="Pharmaceuticals"/>
    <s v="Healthcare"/>
    <x v="1"/>
    <x v="1"/>
    <s v="Shanghvi"/>
    <s v="Dilip"/>
    <n v="15600"/>
    <n v="1955"/>
    <n v="10"/>
    <n v="1"/>
    <n v="180.44"/>
    <n v="2611000000000"/>
    <n v="69.400000000000006"/>
    <n v="11.2"/>
    <n v="49.7"/>
    <n v="1366417754"/>
    <x v="103"/>
    <d v="2025-12-27T00:00:00"/>
    <d v="1955-10-01T00:00:00"/>
  </r>
  <r>
    <n v="113"/>
    <x v="2"/>
    <x v="106"/>
    <s v="United States"/>
    <s v="San Jose"/>
    <s v="Wireless networking"/>
    <s v="Technology"/>
    <x v="1"/>
    <x v="1"/>
    <s v="Pera"/>
    <s v="Robert"/>
    <n v="15500"/>
    <n v="1978"/>
    <n v="3"/>
    <n v="10"/>
    <n v="117.24"/>
    <n v="21427700000000"/>
    <n v="78.5"/>
    <n v="9.6"/>
    <n v="36.6"/>
    <n v="328239523"/>
    <x v="104"/>
    <d v="2025-12-27T00:00:00"/>
    <d v="1978-03-10T00:00:00"/>
  </r>
  <r>
    <n v="114"/>
    <x v="0"/>
    <x v="107"/>
    <s v="India"/>
    <s v="Mumbai"/>
    <s v="Retail, investments"/>
    <s v="Fashion &amp; Retail"/>
    <x v="1"/>
    <x v="1"/>
    <s v="Damani"/>
    <s v="Radhakishan"/>
    <n v="15300"/>
    <n v="1955"/>
    <n v="1"/>
    <n v="1"/>
    <n v="180.44"/>
    <n v="2611000000000"/>
    <n v="69.400000000000006"/>
    <n v="11.2"/>
    <n v="49.7"/>
    <n v="1366417754"/>
    <x v="105"/>
    <d v="2025-12-27T00:00:00"/>
    <d v="1955-01-01T00:00:00"/>
  </r>
  <r>
    <n v="115"/>
    <x v="1"/>
    <x v="108"/>
    <s v="China"/>
    <s v="Ningde"/>
    <s v="Batteries"/>
    <s v="Automotive"/>
    <x v="1"/>
    <x v="1"/>
    <s v="Huang"/>
    <s v="Shilin"/>
    <n v="15200"/>
    <n v="1967"/>
    <n v="1"/>
    <n v="1"/>
    <n v="125.08"/>
    <n v="19910000000000"/>
    <n v="77"/>
    <n v="9.4"/>
    <n v="59.2"/>
    <n v="1397715000"/>
    <x v="106"/>
    <d v="2025-12-27T00:00:00"/>
    <d v="1967-01-01T00:00:00"/>
  </r>
  <r>
    <n v="116"/>
    <x v="6"/>
    <x v="109"/>
    <s v="Thailand"/>
    <s v="Bangkok"/>
    <s v="Diversified"/>
    <s v="Diversified"/>
    <x v="0"/>
    <x v="1"/>
    <s v="Chearavanont"/>
    <s v="Dhanin"/>
    <n v="14900"/>
    <n v="1939"/>
    <n v="4"/>
    <n v="19"/>
    <n v="113.27"/>
    <n v="543649976166"/>
    <n v="76.900000000000006"/>
    <n v="14.9"/>
    <n v="29.5"/>
    <n v="69625582"/>
    <x v="107"/>
    <d v="2025-12-27T00:00:00"/>
    <d v="1939-04-19T00:00:00"/>
  </r>
  <r>
    <n v="116"/>
    <x v="0"/>
    <x v="110"/>
    <s v="United States"/>
    <s v="Oklahoma City"/>
    <s v="Retail"/>
    <s v="Fashion &amp; Retail"/>
    <x v="1"/>
    <x v="1"/>
    <s v="Green"/>
    <s v="David"/>
    <n v="14900"/>
    <n v="1941"/>
    <n v="11"/>
    <n v="13"/>
    <n v="117.24"/>
    <n v="21427700000000"/>
    <n v="78.5"/>
    <n v="9.6"/>
    <n v="36.6"/>
    <n v="328239523"/>
    <x v="108"/>
    <d v="2025-12-27T00:00:00"/>
    <d v="1941-11-13T00:00:00"/>
  </r>
  <r>
    <n v="118"/>
    <x v="7"/>
    <x v="111"/>
    <s v="Thailand"/>
    <s v="Bangkok"/>
    <s v="Alcohol, real estate"/>
    <s v="Food &amp; Beverage"/>
    <x v="1"/>
    <x v="1"/>
    <s v="Sirivadhanabhakdi"/>
    <s v="Charoen"/>
    <n v="14800"/>
    <n v="1944"/>
    <n v="5"/>
    <n v="2"/>
    <n v="113.27"/>
    <n v="543649976166"/>
    <n v="76.900000000000006"/>
    <n v="14.9"/>
    <n v="29.5"/>
    <n v="69625582"/>
    <x v="109"/>
    <d v="2025-12-27T00:00:00"/>
    <d v="1944-05-02T00:00:00"/>
  </r>
  <r>
    <n v="119"/>
    <x v="7"/>
    <x v="112"/>
    <s v="United Kingdom"/>
    <s v="London"/>
    <s v="Heineken"/>
    <s v="Food &amp; Beverage"/>
    <x v="0"/>
    <x v="2"/>
    <s v="de Carvalho-Heineken"/>
    <s v="Charlene"/>
    <n v="14700"/>
    <n v="1954"/>
    <n v="6"/>
    <n v="30"/>
    <n v="119.62"/>
    <n v="2827113184696"/>
    <n v="81.3"/>
    <n v="25.5"/>
    <n v="30.6"/>
    <n v="66834405"/>
    <x v="110"/>
    <d v="2025-12-27T00:00:00"/>
    <d v="1954-06-30T00:00:00"/>
  </r>
  <r>
    <n v="120"/>
    <x v="13"/>
    <x v="113"/>
    <s v="China"/>
    <s v="Shenzhen"/>
    <s v="Medical devices"/>
    <s v="Healthcare"/>
    <x v="1"/>
    <x v="1"/>
    <s v="Xu"/>
    <s v="Hang"/>
    <n v="14600"/>
    <n v="1962"/>
    <n v="5"/>
    <n v="22"/>
    <n v="125.08"/>
    <n v="19910000000000"/>
    <n v="77"/>
    <n v="9.4"/>
    <n v="59.2"/>
    <n v="1397715000"/>
    <x v="111"/>
    <d v="2025-12-27T00:00:00"/>
    <d v="1962-05-22T00:00:00"/>
  </r>
  <r>
    <n v="121"/>
    <x v="1"/>
    <x v="114"/>
    <s v="China"/>
    <s v="Baoding"/>
    <s v="Automobiles"/>
    <s v="Automotive"/>
    <x v="1"/>
    <x v="1"/>
    <s v="Wei"/>
    <s v="Jianjun"/>
    <n v="14500"/>
    <n v="1964"/>
    <n v="3"/>
    <n v="1"/>
    <n v="125.08"/>
    <n v="19910000000000"/>
    <n v="77"/>
    <n v="9.4"/>
    <n v="59.2"/>
    <n v="1397715000"/>
    <x v="112"/>
    <d v="2025-12-27T00:00:00"/>
    <d v="1964-03-01T00:00:00"/>
  </r>
  <r>
    <n v="123"/>
    <x v="10"/>
    <x v="115"/>
    <s v="Singapore"/>
    <s v="Singapore"/>
    <s v="Paints"/>
    <s v="Manufacturing"/>
    <x v="1"/>
    <x v="1"/>
    <s v="Goh"/>
    <s v="Cheng Liang"/>
    <n v="14300"/>
    <n v="1927"/>
    <n v="6"/>
    <n v="27"/>
    <n v="114.41"/>
    <n v="372062527489"/>
    <n v="83.1"/>
    <n v="13.1"/>
    <n v="21"/>
    <n v="5703569"/>
    <x v="113"/>
    <d v="2025-12-27T00:00:00"/>
    <d v="1927-06-27T00:00:00"/>
  </r>
  <r>
    <n v="124"/>
    <x v="6"/>
    <x v="116"/>
    <s v="India"/>
    <s v="Mumbai"/>
    <s v="Commodities"/>
    <s v="Diversified"/>
    <x v="0"/>
    <x v="1"/>
    <s v="Birla"/>
    <s v="Kumar"/>
    <n v="14200"/>
    <n v="1967"/>
    <n v="6"/>
    <n v="14"/>
    <n v="180.44"/>
    <n v="2611000000000"/>
    <n v="69.400000000000006"/>
    <n v="11.2"/>
    <n v="49.7"/>
    <n v="1366417754"/>
    <x v="114"/>
    <d v="2025-12-27T00:00:00"/>
    <d v="1967-06-14T00:00:00"/>
  </r>
  <r>
    <n v="124"/>
    <x v="10"/>
    <x v="117"/>
    <s v="Nigeria"/>
    <s v="Lagos"/>
    <s v="Cement, sugar"/>
    <s v="Manufacturing"/>
    <x v="1"/>
    <x v="1"/>
    <s v="Dangote"/>
    <s v="Aliko"/>
    <n v="14200"/>
    <n v="1957"/>
    <n v="4"/>
    <n v="10"/>
    <n v="267.51"/>
    <n v="448120428859"/>
    <n v="54.3"/>
    <n v="1.5"/>
    <n v="34.799999999999997"/>
    <n v="200963599"/>
    <x v="115"/>
    <d v="2025-12-27T00:00:00"/>
    <d v="1957-04-10T00:00:00"/>
  </r>
  <r>
    <n v="127"/>
    <x v="6"/>
    <x v="118"/>
    <s v="United Kingdom"/>
    <s v="London"/>
    <s v="Shipping"/>
    <s v="Diversified"/>
    <x v="0"/>
    <x v="1"/>
    <s v="Ofer"/>
    <s v="Idan"/>
    <n v="14000"/>
    <n v="1955"/>
    <n v="10"/>
    <n v="2"/>
    <n v="119.62"/>
    <n v="2827113184696"/>
    <n v="81.3"/>
    <n v="25.5"/>
    <n v="30.6"/>
    <n v="66834405"/>
    <x v="116"/>
    <d v="2025-12-27T00:00:00"/>
    <d v="1955-10-02T00:00:00"/>
  </r>
  <r>
    <n v="128"/>
    <x v="13"/>
    <x v="119"/>
    <s v="China"/>
    <s v="Changsha"/>
    <s v="Hospitals"/>
    <s v="Healthcare"/>
    <x v="1"/>
    <x v="1"/>
    <s v="Chen"/>
    <s v="Bang"/>
    <n v="13900"/>
    <n v="1965"/>
    <n v="9"/>
    <n v="1"/>
    <n v="125.08"/>
    <n v="19910000000000"/>
    <n v="77"/>
    <n v="9.4"/>
    <n v="59.2"/>
    <n v="1397715000"/>
    <x v="117"/>
    <d v="2025-12-27T00:00:00"/>
    <d v="1965-09-01T00:00:00"/>
  </r>
  <r>
    <n v="130"/>
    <x v="8"/>
    <x v="120"/>
    <s v="United Kingdom"/>
    <s v="London"/>
    <s v="Shipping"/>
    <s v="Logistics"/>
    <x v="1"/>
    <x v="1"/>
    <s v="Fredriksen"/>
    <s v="John"/>
    <n v="13700"/>
    <n v="1945"/>
    <n v="2"/>
    <n v="1"/>
    <n v="119.62"/>
    <n v="2827113184696"/>
    <n v="81.3"/>
    <n v="25.5"/>
    <n v="30.6"/>
    <n v="66834405"/>
    <x v="118"/>
    <d v="2025-12-27T00:00:00"/>
    <d v="1945-02-01T00:00:00"/>
  </r>
  <r>
    <n v="130"/>
    <x v="16"/>
    <x v="121"/>
    <s v="United States"/>
    <s v="Afton"/>
    <s v="Building supplies"/>
    <s v="Construction &amp; Engineering"/>
    <x v="1"/>
    <x v="2"/>
    <s v="Hendricks"/>
    <s v="Diane"/>
    <n v="13700"/>
    <n v="1947"/>
    <n v="3"/>
    <n v="2"/>
    <n v="117.24"/>
    <n v="21427700000000"/>
    <n v="78.5"/>
    <n v="9.6"/>
    <n v="36.6"/>
    <n v="328239523"/>
    <x v="119"/>
    <d v="2025-12-27T00:00:00"/>
    <d v="1947-03-02T00:00:00"/>
  </r>
  <r>
    <n v="130"/>
    <x v="2"/>
    <x v="122"/>
    <s v="United States"/>
    <s v="Atherton"/>
    <s v="WhatsApp"/>
    <s v="Technology"/>
    <x v="1"/>
    <x v="1"/>
    <s v="Koum"/>
    <s v="Jan"/>
    <n v="13700"/>
    <n v="1976"/>
    <n v="2"/>
    <n v="24"/>
    <n v="117.24"/>
    <n v="21427700000000"/>
    <n v="78.5"/>
    <n v="9.6"/>
    <n v="36.6"/>
    <n v="328239523"/>
    <x v="120"/>
    <d v="2025-12-27T00:00:00"/>
    <d v="1976-02-24T00:00:00"/>
  </r>
  <r>
    <n v="133"/>
    <x v="17"/>
    <x v="123"/>
    <s v="United States"/>
    <s v="Dallas"/>
    <s v="Dallas Cowboys"/>
    <s v="Sports"/>
    <x v="1"/>
    <x v="1"/>
    <s v="Jones"/>
    <s v="Jerry"/>
    <n v="13300"/>
    <n v="1942"/>
    <n v="10"/>
    <n v="13"/>
    <n v="117.24"/>
    <n v="21427700000000"/>
    <n v="78.5"/>
    <n v="9.6"/>
    <n v="36.6"/>
    <n v="328239523"/>
    <x v="121"/>
    <d v="2025-12-27T00:00:00"/>
    <d v="1942-10-13T00:00:00"/>
  </r>
  <r>
    <n v="133"/>
    <x v="12"/>
    <x v="124"/>
    <s v="United States"/>
    <s v="Tulsa"/>
    <s v="Oil &amp; gas, banking"/>
    <s v="Energy"/>
    <x v="0"/>
    <x v="1"/>
    <s v="Kaiser"/>
    <s v="George"/>
    <n v="13300"/>
    <n v="1942"/>
    <n v="7"/>
    <n v="29"/>
    <n v="117.24"/>
    <n v="21427700000000"/>
    <n v="78.5"/>
    <n v="9.6"/>
    <n v="36.6"/>
    <n v="328239523"/>
    <x v="122"/>
    <d v="2025-12-27T00:00:00"/>
    <d v="1942-07-29T00:00:00"/>
  </r>
  <r>
    <n v="136"/>
    <x v="1"/>
    <x v="125"/>
    <s v="China"/>
    <s v="Guangzhou"/>
    <s v="Automobiles, batteries"/>
    <s v="Automotive"/>
    <x v="1"/>
    <x v="1"/>
    <s v="Lu"/>
    <s v="Xiangyang"/>
    <n v="13200"/>
    <n v="1962"/>
    <n v="12"/>
    <n v="28"/>
    <n v="125.08"/>
    <n v="19910000000000"/>
    <n v="77"/>
    <n v="9.4"/>
    <n v="59.2"/>
    <n v="1397715000"/>
    <x v="123"/>
    <d v="2025-12-27T00:00:00"/>
    <d v="1962-12-28T00:00:00"/>
  </r>
  <r>
    <n v="137"/>
    <x v="15"/>
    <x v="126"/>
    <s v="Australia"/>
    <s v="Sydney"/>
    <s v="Real estate"/>
    <s v="Real Estate"/>
    <x v="1"/>
    <x v="1"/>
    <s v="Triguboff"/>
    <s v="Harry"/>
    <n v="13100"/>
    <n v="1933"/>
    <n v="3"/>
    <n v="3"/>
    <n v="119.8"/>
    <n v="1392680589329"/>
    <n v="82.7"/>
    <n v="23"/>
    <n v="47.4"/>
    <n v="25766605"/>
    <x v="124"/>
    <d v="2025-12-27T00:00:00"/>
    <d v="1933-03-03T00:00:00"/>
  </r>
  <r>
    <n v="138"/>
    <x v="3"/>
    <x v="127"/>
    <s v="India"/>
    <s v="Mumbai"/>
    <s v="Banking"/>
    <s v="Finance &amp; Investments"/>
    <x v="1"/>
    <x v="1"/>
    <s v="Kotak"/>
    <s v="Uday"/>
    <n v="12900"/>
    <n v="1959"/>
    <n v="3"/>
    <n v="15"/>
    <n v="180.44"/>
    <n v="2611000000000"/>
    <n v="69.400000000000006"/>
    <n v="11.2"/>
    <n v="49.7"/>
    <n v="1366417754"/>
    <x v="125"/>
    <d v="2025-12-27T00:00:00"/>
    <d v="1959-03-15T00:00:00"/>
  </r>
  <r>
    <n v="138"/>
    <x v="17"/>
    <x v="128"/>
    <s v="United States"/>
    <s v="Electra"/>
    <s v="Sports, real estate"/>
    <s v="Sports"/>
    <x v="1"/>
    <x v="1"/>
    <s v="Kroenke"/>
    <s v="Stanley"/>
    <n v="12900"/>
    <n v="1947"/>
    <n v="7"/>
    <n v="29"/>
    <n v="117.24"/>
    <n v="21427700000000"/>
    <n v="78.5"/>
    <n v="9.6"/>
    <n v="36.6"/>
    <n v="328239523"/>
    <x v="126"/>
    <d v="2025-12-27T00:00:00"/>
    <d v="1947-07-29T00:00:00"/>
  </r>
  <r>
    <n v="140"/>
    <x v="12"/>
    <x v="129"/>
    <s v="United Kingdom"/>
    <s v="London"/>
    <s v="Oil, banking, telecom"/>
    <s v="Energy"/>
    <x v="1"/>
    <x v="1"/>
    <s v="Fridman"/>
    <s v="Mikhail"/>
    <n v="12600"/>
    <n v="1964"/>
    <n v="4"/>
    <n v="21"/>
    <n v="119.62"/>
    <n v="2827113184696"/>
    <n v="81.3"/>
    <n v="25.5"/>
    <n v="30.6"/>
    <n v="66834405"/>
    <x v="127"/>
    <d v="2025-12-27T00:00:00"/>
    <d v="1964-04-21T00:00:00"/>
  </r>
  <r>
    <n v="141"/>
    <x v="12"/>
    <x v="130"/>
    <s v="Thailand"/>
    <s v="Bangkok"/>
    <s v="Energy"/>
    <s v="Energy"/>
    <x v="1"/>
    <x v="1"/>
    <s v="Ratanavadi"/>
    <s v="Sarath"/>
    <n v="12300"/>
    <n v="1965"/>
    <n v="7"/>
    <n v="12"/>
    <n v="113.27"/>
    <n v="543649976166"/>
    <n v="76.900000000000006"/>
    <n v="14.9"/>
    <n v="29.5"/>
    <n v="69625582"/>
    <x v="128"/>
    <d v="2025-12-27T00:00:00"/>
    <d v="1965-07-12T00:00:00"/>
  </r>
  <r>
    <n v="142"/>
    <x v="11"/>
    <x v="131"/>
    <s v="China"/>
    <s v="Yinchuan"/>
    <s v="Coal"/>
    <s v="Metals &amp; Mining"/>
    <x v="1"/>
    <x v="1"/>
    <s v="Dang"/>
    <s v="Yanbao"/>
    <n v="12200"/>
    <n v="1973"/>
    <n v="2"/>
    <n v="1"/>
    <n v="125.08"/>
    <n v="19910000000000"/>
    <n v="77"/>
    <n v="9.4"/>
    <n v="59.2"/>
    <n v="1397715000"/>
    <x v="129"/>
    <d v="2025-12-27T00:00:00"/>
    <d v="1973-02-01T00:00:00"/>
  </r>
  <r>
    <n v="142"/>
    <x v="13"/>
    <x v="132"/>
    <s v="China"/>
    <s v="Chongqing"/>
    <s v="Vaccines"/>
    <s v="Healthcare"/>
    <x v="1"/>
    <x v="1"/>
    <s v="Jiang"/>
    <s v="Rensheng"/>
    <n v="12200"/>
    <n v="1953"/>
    <n v="10"/>
    <n v="8"/>
    <n v="125.08"/>
    <n v="19910000000000"/>
    <n v="77"/>
    <n v="9.4"/>
    <n v="59.2"/>
    <n v="1397715000"/>
    <x v="130"/>
    <d v="2025-12-27T00:00:00"/>
    <d v="1953-10-08T00:00:00"/>
  </r>
  <r>
    <n v="144"/>
    <x v="1"/>
    <x v="133"/>
    <s v="United States"/>
    <s v="Naples"/>
    <s v="Auto parts"/>
    <s v="Automotive"/>
    <x v="1"/>
    <x v="1"/>
    <s v="Khan"/>
    <s v="Shahid"/>
    <n v="12100"/>
    <n v="1950"/>
    <n v="7"/>
    <n v="18"/>
    <n v="117.24"/>
    <n v="21427700000000"/>
    <n v="78.5"/>
    <n v="9.6"/>
    <n v="36.6"/>
    <n v="328239523"/>
    <x v="131"/>
    <d v="2025-12-27T00:00:00"/>
    <d v="1950-07-18T00:00:00"/>
  </r>
  <r>
    <n v="145"/>
    <x v="2"/>
    <x v="134"/>
    <s v="United States"/>
    <s v="Palo Alto"/>
    <s v="Apple, Disney"/>
    <s v="Technology"/>
    <x v="0"/>
    <x v="2"/>
    <s v="Powell Jobs"/>
    <s v="Laurene"/>
    <n v="12000"/>
    <n v="1963"/>
    <n v="11"/>
    <n v="6"/>
    <n v="117.24"/>
    <n v="21427700000000"/>
    <n v="78.5"/>
    <n v="9.6"/>
    <n v="36.6"/>
    <n v="328239523"/>
    <x v="132"/>
    <d v="2025-12-27T00:00:00"/>
    <d v="1963-11-06T00:00:00"/>
  </r>
  <r>
    <n v="147"/>
    <x v="15"/>
    <x v="135"/>
    <s v="United States"/>
    <s v="New York"/>
    <s v="Real estate"/>
    <s v="Real Estate"/>
    <x v="1"/>
    <x v="1"/>
    <s v="Ross"/>
    <s v="Stephen"/>
    <n v="11600"/>
    <n v="1940"/>
    <n v="5"/>
    <n v="10"/>
    <n v="117.24"/>
    <n v="21427700000000"/>
    <n v="78.5"/>
    <n v="9.6"/>
    <n v="36.6"/>
    <n v="328239523"/>
    <x v="133"/>
    <d v="2025-12-27T00:00:00"/>
    <d v="1940-05-10T00:00:00"/>
  </r>
  <r>
    <n v="148"/>
    <x v="2"/>
    <x v="136"/>
    <s v="United Arab Emirates"/>
    <s v="Dubai"/>
    <s v="Messaging app"/>
    <s v="Technology"/>
    <x v="1"/>
    <x v="1"/>
    <s v="Durov"/>
    <s v="Pavel"/>
    <n v="11500"/>
    <n v="1984"/>
    <n v="10"/>
    <n v="10"/>
    <n v="114.52"/>
    <n v="421142267938"/>
    <n v="77.8"/>
    <n v="0.1"/>
    <n v="15.9"/>
    <n v="9770529"/>
    <x v="134"/>
    <d v="2025-12-27T00:00:00"/>
    <d v="1984-10-10T00:00:00"/>
  </r>
  <r>
    <n v="148"/>
    <x v="13"/>
    <x v="137"/>
    <s v="Germany"/>
    <s v="Tegernsee"/>
    <s v="Pharmaceuticals"/>
    <s v="Healthcare"/>
    <x v="1"/>
    <x v="1"/>
    <s v="Struengmann"/>
    <s v="Andreas"/>
    <n v="11500"/>
    <n v="1950"/>
    <n v="2"/>
    <n v="16"/>
    <n v="112.85"/>
    <n v="3845630030824"/>
    <n v="80.900000000000006"/>
    <n v="11.5"/>
    <n v="48.8"/>
    <n v="83132799"/>
    <x v="135"/>
    <d v="2025-12-27T00:00:00"/>
    <d v="1950-02-16T00:00:00"/>
  </r>
  <r>
    <n v="148"/>
    <x v="13"/>
    <x v="138"/>
    <s v="Germany"/>
    <s v="Tegernsee"/>
    <s v="Pharmaceuticals"/>
    <s v="Healthcare"/>
    <x v="1"/>
    <x v="1"/>
    <s v="Struengmann"/>
    <s v="Thomas"/>
    <n v="11500"/>
    <n v="1950"/>
    <n v="2"/>
    <n v="16"/>
    <n v="112.85"/>
    <n v="3845630030824"/>
    <n v="80.900000000000006"/>
    <n v="11.5"/>
    <n v="48.8"/>
    <n v="83132799"/>
    <x v="135"/>
    <d v="2025-12-27T00:00:00"/>
    <d v="1950-02-16T00:00:00"/>
  </r>
  <r>
    <n v="151"/>
    <x v="7"/>
    <x v="139"/>
    <s v="China"/>
    <s v="Chengdu"/>
    <s v="Agribusiness"/>
    <s v="Food &amp; Beverage"/>
    <x v="1"/>
    <x v="1"/>
    <s v="Liu"/>
    <s v="Hanyuan"/>
    <n v="11400"/>
    <n v="1964"/>
    <n v="1"/>
    <n v="1"/>
    <n v="125.08"/>
    <n v="19910000000000"/>
    <n v="77"/>
    <n v="9.4"/>
    <n v="59.2"/>
    <n v="1397715000"/>
    <x v="136"/>
    <d v="2025-12-27T00:00:00"/>
    <d v="1964-01-01T00:00:00"/>
  </r>
  <r>
    <n v="151"/>
    <x v="0"/>
    <x v="140"/>
    <s v="United States"/>
    <s v="Bryn Mawr"/>
    <s v="Online retail"/>
    <s v="Fashion &amp; Retail"/>
    <x v="1"/>
    <x v="1"/>
    <s v="Rubin"/>
    <s v="Michael"/>
    <n v="11400"/>
    <n v="1972"/>
    <n v="7"/>
    <n v="21"/>
    <n v="117.24"/>
    <n v="21427700000000"/>
    <n v="78.5"/>
    <n v="9.6"/>
    <n v="36.6"/>
    <n v="328239523"/>
    <x v="137"/>
    <d v="2025-12-27T00:00:00"/>
    <d v="1972-07-21T00:00:00"/>
  </r>
  <r>
    <n v="153"/>
    <x v="3"/>
    <x v="141"/>
    <s v="United States"/>
    <s v="New York"/>
    <s v="Hedge funds"/>
    <s v="Finance &amp; Investments"/>
    <x v="1"/>
    <x v="1"/>
    <s v="Englander"/>
    <s v="Israel"/>
    <n v="11300"/>
    <n v="1948"/>
    <n v="9"/>
    <n v="30"/>
    <n v="117.24"/>
    <n v="21427700000000"/>
    <n v="78.5"/>
    <n v="9.6"/>
    <n v="36.6"/>
    <n v="328239523"/>
    <x v="138"/>
    <d v="2025-12-27T00:00:00"/>
    <d v="1948-09-30T00:00:00"/>
  </r>
  <r>
    <n v="153"/>
    <x v="10"/>
    <x v="142"/>
    <s v="Israel"/>
    <s v="Herzliya"/>
    <s v="Fertilizer, real estate"/>
    <s v="Manufacturing"/>
    <x v="1"/>
    <x v="1"/>
    <s v="Kantor"/>
    <s v="Viatcheslav"/>
    <n v="11300"/>
    <n v="1953"/>
    <n v="9"/>
    <n v="8"/>
    <n v="108.15"/>
    <n v="395098666122"/>
    <n v="82.8"/>
    <n v="23.1"/>
    <n v="25.3"/>
    <n v="9053300"/>
    <x v="139"/>
    <d v="2025-12-27T00:00:00"/>
    <d v="1953-09-08T00:00:00"/>
  </r>
  <r>
    <n v="153"/>
    <x v="10"/>
    <x v="143"/>
    <s v="Australia"/>
    <s v="Melbourne"/>
    <s v="Manufacturing"/>
    <s v="Manufacturing"/>
    <x v="0"/>
    <x v="1"/>
    <s v="Pratt"/>
    <s v="Anthony"/>
    <n v="11300"/>
    <n v="1960"/>
    <n v="4"/>
    <n v="11"/>
    <n v="119.8"/>
    <n v="1392680589329"/>
    <n v="82.7"/>
    <n v="23"/>
    <n v="47.4"/>
    <n v="25766605"/>
    <x v="140"/>
    <d v="2025-12-27T00:00:00"/>
    <d v="1960-04-11T00:00:00"/>
  </r>
  <r>
    <n v="153"/>
    <x v="3"/>
    <x v="144"/>
    <s v="Switzerland"/>
    <s v="Frauenfeld"/>
    <s v="Investments"/>
    <s v="Finance &amp; Investments"/>
    <x v="1"/>
    <x v="1"/>
    <s v="Prokhorov"/>
    <s v="Mikhail"/>
    <n v="11300"/>
    <n v="1965"/>
    <n v="5"/>
    <n v="3"/>
    <n v="99.55"/>
    <n v="703082435360"/>
    <n v="83.6"/>
    <n v="10.1"/>
    <n v="28.8"/>
    <n v="8574832"/>
    <x v="141"/>
    <d v="2025-12-27T00:00:00"/>
    <d v="1965-05-03T00:00:00"/>
  </r>
  <r>
    <n v="157"/>
    <x v="0"/>
    <x v="145"/>
    <s v="Italy"/>
    <s v="Milan"/>
    <s v="Luxury goods"/>
    <s v="Fashion &amp; Retail"/>
    <x v="1"/>
    <x v="1"/>
    <s v="Armani"/>
    <s v="Giorgio"/>
    <n v="11100"/>
    <n v="1934"/>
    <n v="7"/>
    <n v="11"/>
    <n v="110.62"/>
    <n v="2001244392042"/>
    <n v="82.9"/>
    <n v="24.3"/>
    <n v="59.1"/>
    <n v="60297396"/>
    <x v="142"/>
    <d v="2025-12-27T00:00:00"/>
    <d v="1934-07-11T00:00:00"/>
  </r>
  <r>
    <n v="157"/>
    <x v="0"/>
    <x v="146"/>
    <s v="South Africa"/>
    <s v="Cape Town"/>
    <s v="Luxury goods"/>
    <s v="Fashion &amp; Retail"/>
    <x v="0"/>
    <x v="1"/>
    <s v="Rupert"/>
    <s v="Johann"/>
    <n v="11100"/>
    <n v="1950"/>
    <n v="6"/>
    <n v="1"/>
    <n v="158.93"/>
    <n v="351431649241"/>
    <n v="63.9"/>
    <n v="27.5"/>
    <n v="29.2"/>
    <n v="58558270"/>
    <x v="143"/>
    <d v="2025-12-27T00:00:00"/>
    <d v="1950-06-01T00:00:00"/>
  </r>
  <r>
    <n v="159"/>
    <x v="2"/>
    <x v="147"/>
    <s v="China"/>
    <s v="Shenzhen"/>
    <s v="Internet media"/>
    <s v="Technology"/>
    <x v="1"/>
    <x v="1"/>
    <s v="Zhang"/>
    <s v="Zhidong"/>
    <n v="11000"/>
    <n v="1972"/>
    <n v="1"/>
    <n v="1"/>
    <n v="125.08"/>
    <n v="19910000000000"/>
    <n v="77"/>
    <n v="9.4"/>
    <n v="59.2"/>
    <n v="1397715000"/>
    <x v="144"/>
    <d v="2025-12-27T00:00:00"/>
    <d v="1972-01-01T00:00:00"/>
  </r>
  <r>
    <n v="161"/>
    <x v="3"/>
    <x v="148"/>
    <s v="United States"/>
    <s v="Denver"/>
    <s v="Energy, sports, entertainment"/>
    <s v="Finance &amp; Investments"/>
    <x v="0"/>
    <x v="1"/>
    <s v="Anschutz"/>
    <s v="Philip"/>
    <n v="10900"/>
    <n v="1939"/>
    <n v="12"/>
    <n v="28"/>
    <n v="117.24"/>
    <n v="21427700000000"/>
    <n v="78.5"/>
    <n v="9.6"/>
    <n v="36.6"/>
    <n v="328239523"/>
    <x v="145"/>
    <d v="2025-12-27T00:00:00"/>
    <d v="1939-12-28T00:00:00"/>
  </r>
  <r>
    <n v="161"/>
    <x v="0"/>
    <x v="149"/>
    <s v="United States"/>
    <s v="Oklahoma City"/>
    <s v="Gas stations"/>
    <s v="Fashion &amp; Retail"/>
    <x v="1"/>
    <x v="2"/>
    <s v="Love"/>
    <s v="Judy"/>
    <n v="10900"/>
    <n v="1937"/>
    <n v="6"/>
    <n v="17"/>
    <n v="117.24"/>
    <n v="21427700000000"/>
    <n v="78.5"/>
    <n v="9.6"/>
    <n v="36.6"/>
    <n v="328239523"/>
    <x v="146"/>
    <d v="2025-12-27T00:00:00"/>
    <d v="1937-06-17T00:00:00"/>
  </r>
  <r>
    <n v="161"/>
    <x v="0"/>
    <x v="150"/>
    <s v="Mexico"/>
    <s v="Mexico City"/>
    <s v="Retail, media"/>
    <s v="Fashion &amp; Retail"/>
    <x v="0"/>
    <x v="1"/>
    <s v="Salinas Pliego"/>
    <s v="Ricardo"/>
    <n v="10900"/>
    <n v="1955"/>
    <n v="10"/>
    <n v="19"/>
    <n v="141.54"/>
    <n v="1258286717125"/>
    <n v="75"/>
    <n v="13.1"/>
    <n v="55.1"/>
    <n v="126014024"/>
    <x v="147"/>
    <d v="2025-12-27T00:00:00"/>
    <d v="1955-10-19T00:00:00"/>
  </r>
  <r>
    <n v="164"/>
    <x v="4"/>
    <x v="151"/>
    <s v="United States"/>
    <s v="New York"/>
    <s v="Media"/>
    <s v="Media &amp; Entertainment"/>
    <x v="0"/>
    <x v="1"/>
    <s v="Newhouse"/>
    <s v="Donald"/>
    <n v="10700"/>
    <n v="1929"/>
    <n v="8"/>
    <n v="5"/>
    <n v="117.24"/>
    <n v="21427700000000"/>
    <n v="78.5"/>
    <n v="9.6"/>
    <n v="36.6"/>
    <n v="328239523"/>
    <x v="148"/>
    <d v="2025-12-27T00:00:00"/>
    <d v="1929-08-05T00:00:00"/>
  </r>
  <r>
    <n v="165"/>
    <x v="17"/>
    <x v="152"/>
    <s v="United States"/>
    <s v="Brookline"/>
    <s v="Manufacturing, New England Patriots"/>
    <s v="Sports"/>
    <x v="1"/>
    <x v="1"/>
    <s v="Kraft"/>
    <s v="Robert"/>
    <n v="10600"/>
    <n v="1941"/>
    <n v="6"/>
    <n v="5"/>
    <n v="117.24"/>
    <n v="21427700000000"/>
    <n v="78.5"/>
    <n v="9.6"/>
    <n v="36.6"/>
    <n v="328239523"/>
    <x v="149"/>
    <d v="2025-12-27T00:00:00"/>
    <d v="1941-06-05T00:00:00"/>
  </r>
  <r>
    <n v="165"/>
    <x v="7"/>
    <x v="153"/>
    <s v="Brazil"/>
    <s v="Sao Paulo"/>
    <s v="Beer"/>
    <s v="Food &amp; Beverage"/>
    <x v="1"/>
    <x v="1"/>
    <s v="Telles"/>
    <s v="Marcel Herrmann"/>
    <n v="10600"/>
    <n v="1950"/>
    <n v="1"/>
    <n v="1"/>
    <n v="167.4"/>
    <n v="1839758040766"/>
    <n v="75.7"/>
    <n v="14.2"/>
    <n v="65.099999999999994"/>
    <n v="212559417"/>
    <x v="150"/>
    <d v="2025-12-27T00:00:00"/>
    <d v="1950-01-01T00:00:00"/>
  </r>
  <r>
    <n v="167"/>
    <x v="3"/>
    <x v="154"/>
    <s v="Russia"/>
    <s v="Moscow"/>
    <s v="Gold"/>
    <s v="Finance &amp; Investments"/>
    <x v="1"/>
    <x v="1"/>
    <s v="Kerimov &amp; family"/>
    <s v="Suleiman"/>
    <n v="10500"/>
    <n v="1966"/>
    <n v="3"/>
    <n v="12"/>
    <n v="180.75"/>
    <n v="1699876578871"/>
    <n v="72.7"/>
    <n v="11.4"/>
    <n v="46.2"/>
    <n v="144373535"/>
    <x v="151"/>
    <d v="2025-12-27T00:00:00"/>
    <d v="1966-03-12T00:00:00"/>
  </r>
  <r>
    <n v="167"/>
    <x v="0"/>
    <x v="155"/>
    <s v="China"/>
    <s v="Guangzhou"/>
    <s v="E-commerce"/>
    <s v="Fashion &amp; Retail"/>
    <x v="1"/>
    <x v="1"/>
    <s v="Xu"/>
    <s v="Sky"/>
    <n v="10500"/>
    <n v="1984"/>
    <n v="1"/>
    <n v="1"/>
    <n v="125.08"/>
    <n v="19910000000000"/>
    <n v="77"/>
    <n v="9.4"/>
    <n v="59.2"/>
    <n v="1397715000"/>
    <x v="25"/>
    <d v="2025-12-27T00:00:00"/>
    <d v="1984-01-01T00:00:00"/>
  </r>
  <r>
    <n v="167"/>
    <x v="3"/>
    <x v="156"/>
    <s v="United Arab Emirates"/>
    <s v="Dubai"/>
    <s v="Cryptocurrency exchange"/>
    <s v="Finance &amp; Investments"/>
    <x v="1"/>
    <x v="1"/>
    <s v="Zhao"/>
    <s v="Changpeng"/>
    <n v="10500"/>
    <n v="1977"/>
    <n v="9"/>
    <n v="10"/>
    <n v="114.52"/>
    <n v="421142267938"/>
    <n v="77.8"/>
    <n v="0.1"/>
    <n v="15.9"/>
    <n v="9770529"/>
    <x v="152"/>
    <d v="2025-12-27T00:00:00"/>
    <d v="1977-09-10T00:00:00"/>
  </r>
  <r>
    <n v="170"/>
    <x v="3"/>
    <x v="157"/>
    <s v="United States"/>
    <s v="Dallas"/>
    <s v="Banks, real estate"/>
    <s v="Finance &amp; Investments"/>
    <x v="1"/>
    <x v="1"/>
    <s v="Beal"/>
    <s v="Andrew"/>
    <n v="10300"/>
    <n v="1952"/>
    <n v="11"/>
    <n v="29"/>
    <n v="117.24"/>
    <n v="21427700000000"/>
    <n v="78.5"/>
    <n v="9.6"/>
    <n v="36.6"/>
    <n v="328239523"/>
    <x v="153"/>
    <d v="2025-12-27T00:00:00"/>
    <d v="1952-11-29T00:00:00"/>
  </r>
  <r>
    <n v="171"/>
    <x v="2"/>
    <x v="158"/>
    <s v="Australia"/>
    <s v="Sydney"/>
    <s v="Software"/>
    <s v="Technology"/>
    <x v="1"/>
    <x v="1"/>
    <s v="Cannon-Brookes"/>
    <s v="Mike"/>
    <n v="10200"/>
    <n v="1979"/>
    <n v="11"/>
    <n v="17"/>
    <n v="119.8"/>
    <n v="1392680589329"/>
    <n v="82.7"/>
    <n v="23"/>
    <n v="47.4"/>
    <n v="25766605"/>
    <x v="154"/>
    <d v="2025-12-27T00:00:00"/>
    <d v="1979-11-17T00:00:00"/>
  </r>
  <r>
    <n v="171"/>
    <x v="13"/>
    <x v="159"/>
    <s v="United States"/>
    <s v="Bloomington"/>
    <s v="Medical devices"/>
    <s v="Healthcare"/>
    <x v="0"/>
    <x v="1"/>
    <s v="Cook"/>
    <s v="Carl"/>
    <n v="10200"/>
    <n v="1962"/>
    <n v="8"/>
    <n v="19"/>
    <n v="117.24"/>
    <n v="21427700000000"/>
    <n v="78.5"/>
    <n v="9.6"/>
    <n v="36.6"/>
    <n v="328239523"/>
    <x v="155"/>
    <d v="2025-12-27T00:00:00"/>
    <d v="1962-08-19T00:00:00"/>
  </r>
  <r>
    <n v="171"/>
    <x v="2"/>
    <x v="160"/>
    <s v="United States"/>
    <s v="Incline Village"/>
    <s v="Business software"/>
    <s v="Technology"/>
    <x v="1"/>
    <x v="1"/>
    <s v="Duffield"/>
    <s v="David"/>
    <n v="10200"/>
    <n v="1940"/>
    <n v="9"/>
    <n v="21"/>
    <n v="117.24"/>
    <n v="21427700000000"/>
    <n v="78.5"/>
    <n v="9.6"/>
    <n v="36.6"/>
    <n v="328239523"/>
    <x v="156"/>
    <d v="2025-12-27T00:00:00"/>
    <d v="1940-09-21T00:00:00"/>
  </r>
  <r>
    <n v="171"/>
    <x v="12"/>
    <x v="161"/>
    <s v="United States"/>
    <s v="Houston"/>
    <s v="Oil"/>
    <s v="Energy"/>
    <x v="1"/>
    <x v="1"/>
    <s v="Hildebrand"/>
    <s v="Jeffery"/>
    <n v="10200"/>
    <n v="1959"/>
    <n v="3"/>
    <n v="5"/>
    <n v="117.24"/>
    <n v="21427700000000"/>
    <n v="78.5"/>
    <n v="9.6"/>
    <n v="36.6"/>
    <n v="328239523"/>
    <x v="157"/>
    <d v="2025-12-27T00:00:00"/>
    <d v="1959-03-05T00:00:00"/>
  </r>
  <r>
    <n v="171"/>
    <x v="10"/>
    <x v="162"/>
    <s v="Russia"/>
    <s v="Magnitogorsk"/>
    <s v="Steel"/>
    <s v="Manufacturing"/>
    <x v="1"/>
    <x v="1"/>
    <s v="Rashnikov"/>
    <s v="Viktor"/>
    <n v="10200"/>
    <n v="1948"/>
    <n v="10"/>
    <n v="13"/>
    <n v="180.75"/>
    <n v="1699876578871"/>
    <n v="72.7"/>
    <n v="11.4"/>
    <n v="46.2"/>
    <n v="144373535"/>
    <x v="158"/>
    <d v="2025-12-27T00:00:00"/>
    <d v="1948-10-13T00:00:00"/>
  </r>
  <r>
    <n v="171"/>
    <x v="2"/>
    <x v="163"/>
    <s v="Singapore"/>
    <s v="Singapore"/>
    <s v="Facebook"/>
    <s v="Technology"/>
    <x v="1"/>
    <x v="1"/>
    <s v="Saverin"/>
    <s v="Eduardo"/>
    <n v="10200"/>
    <n v="1982"/>
    <n v="3"/>
    <n v="19"/>
    <n v="114.41"/>
    <n v="372062527489"/>
    <n v="83.1"/>
    <n v="13.1"/>
    <n v="21"/>
    <n v="5703569"/>
    <x v="159"/>
    <d v="2025-12-27T00:00:00"/>
    <d v="1982-03-19T00:00:00"/>
  </r>
  <r>
    <n v="171"/>
    <x v="1"/>
    <x v="164"/>
    <s v="Germany"/>
    <s v="Herzogenaurach"/>
    <s v="Auto parts"/>
    <s v="Automotive"/>
    <x v="0"/>
    <x v="1"/>
    <s v="Schaeffler"/>
    <s v="Georg"/>
    <n v="10200"/>
    <n v="1964"/>
    <n v="10"/>
    <n v="19"/>
    <n v="112.85"/>
    <n v="3845630030824"/>
    <n v="80.900000000000006"/>
    <n v="11.5"/>
    <n v="48.8"/>
    <n v="83132799"/>
    <x v="160"/>
    <d v="2025-12-27T00:00:00"/>
    <d v="1964-10-19T00:00:00"/>
  </r>
  <r>
    <n v="171"/>
    <x v="0"/>
    <x v="165"/>
    <s v="United States"/>
    <s v="Jackson"/>
    <s v="Walmart"/>
    <s v="Fashion &amp; Retail"/>
    <x v="0"/>
    <x v="2"/>
    <s v="Walton"/>
    <s v="Christy"/>
    <n v="10200"/>
    <n v="1949"/>
    <n v="2"/>
    <n v="8"/>
    <n v="117.24"/>
    <n v="21427700000000"/>
    <n v="78.5"/>
    <n v="9.6"/>
    <n v="36.6"/>
    <n v="328239523"/>
    <x v="161"/>
    <d v="2025-12-27T00:00:00"/>
    <d v="1949-02-08T00:00:00"/>
  </r>
  <r>
    <n v="179"/>
    <x v="2"/>
    <x v="166"/>
    <s v="Australia"/>
    <s v="Sydney"/>
    <s v="Software"/>
    <s v="Technology"/>
    <x v="1"/>
    <x v="1"/>
    <s v="Farquhar"/>
    <s v="Scott"/>
    <n v="10100"/>
    <n v="1979"/>
    <n v="12"/>
    <n v="17"/>
    <n v="119.8"/>
    <n v="1392680589329"/>
    <n v="82.7"/>
    <n v="23"/>
    <n v="47.4"/>
    <n v="25766605"/>
    <x v="162"/>
    <d v="2025-12-27T00:00:00"/>
    <d v="1979-12-17T00:00:00"/>
  </r>
  <r>
    <n v="179"/>
    <x v="6"/>
    <x v="167"/>
    <s v="Malaysia"/>
    <s v="Kuala Lumpur"/>
    <s v="Banking, property"/>
    <s v="Diversified"/>
    <x v="0"/>
    <x v="1"/>
    <s v="Quek"/>
    <s v="Leng Chan"/>
    <n v="10100"/>
    <n v="1941"/>
    <n v="8"/>
    <n v="12"/>
    <n v="121.46"/>
    <n v="364701517788"/>
    <n v="76"/>
    <n v="12"/>
    <n v="38.700000000000003"/>
    <n v="32447385"/>
    <x v="163"/>
    <d v="2025-12-27T00:00:00"/>
    <d v="1941-08-12T00:00:00"/>
  </r>
  <r>
    <n v="179"/>
    <x v="15"/>
    <x v="168"/>
    <s v="China"/>
    <s v="Beijing"/>
    <s v="Real estate"/>
    <s v="Real Estate"/>
    <x v="1"/>
    <x v="2"/>
    <s v="Wu"/>
    <s v="Yajun"/>
    <n v="10100"/>
    <n v="1964"/>
    <n v="1"/>
    <n v="1"/>
    <n v="125.08"/>
    <n v="19910000000000"/>
    <n v="77"/>
    <n v="9.4"/>
    <n v="59.2"/>
    <n v="1397715000"/>
    <x v="136"/>
    <d v="2025-12-27T00:00:00"/>
    <d v="1964-01-01T00:00:00"/>
  </r>
  <r>
    <n v="182"/>
    <x v="12"/>
    <x v="169"/>
    <s v="United States"/>
    <s v="Midland"/>
    <s v="Oil"/>
    <s v="Energy"/>
    <x v="1"/>
    <x v="1"/>
    <s v="Stephens"/>
    <s v="Autry"/>
    <n v="10000"/>
    <n v="1938"/>
    <n v="3"/>
    <n v="8"/>
    <n v="117.24"/>
    <n v="21427700000000"/>
    <n v="78.5"/>
    <n v="9.6"/>
    <n v="36.6"/>
    <n v="328239523"/>
    <x v="164"/>
    <d v="2025-12-27T00:00:00"/>
    <d v="1938-03-08T00:00:00"/>
  </r>
  <r>
    <n v="183"/>
    <x v="14"/>
    <x v="170"/>
    <s v="China"/>
    <s v="Shanghai"/>
    <s v="Diversified"/>
    <s v="Service"/>
    <x v="1"/>
    <x v="1"/>
    <s v="Liu"/>
    <s v="Yongxing"/>
    <n v="9900"/>
    <n v="1948"/>
    <n v="6"/>
    <n v="1"/>
    <n v="125.08"/>
    <n v="19910000000000"/>
    <n v="77"/>
    <n v="9.4"/>
    <n v="59.2"/>
    <n v="1397715000"/>
    <x v="165"/>
    <d v="2025-12-27T00:00:00"/>
    <d v="1948-06-01T00:00:00"/>
  </r>
  <r>
    <n v="184"/>
    <x v="6"/>
    <x v="171"/>
    <s v="United Arab Emirates"/>
    <s v="Dubai"/>
    <s v="Infrastructure, commodities"/>
    <s v="Diversified"/>
    <x v="1"/>
    <x v="1"/>
    <s v="Adani"/>
    <s v="Vinod"/>
    <n v="9800"/>
    <n v="1949"/>
    <n v="1"/>
    <n v="10"/>
    <n v="114.52"/>
    <n v="421142267938"/>
    <n v="77.8"/>
    <n v="0.1"/>
    <n v="15.9"/>
    <n v="9770529"/>
    <x v="166"/>
    <d v="2025-12-27T00:00:00"/>
    <d v="1949-01-10T00:00:00"/>
  </r>
  <r>
    <n v="184"/>
    <x v="0"/>
    <x v="172"/>
    <s v="Switzerland"/>
    <s v="Martigny"/>
    <s v="Hermes"/>
    <s v="Fashion &amp; Retail"/>
    <x v="0"/>
    <x v="1"/>
    <s v="Puech"/>
    <s v="Nicolas"/>
    <n v="9800"/>
    <n v="1943"/>
    <n v="1"/>
    <n v="29"/>
    <n v="99.55"/>
    <n v="703082435360"/>
    <n v="83.6"/>
    <n v="10.1"/>
    <n v="28.8"/>
    <n v="8574832"/>
    <x v="167"/>
    <d v="2025-12-27T00:00:00"/>
    <d v="1943-01-29T00:00:00"/>
  </r>
  <r>
    <n v="184"/>
    <x v="8"/>
    <x v="173"/>
    <s v="France"/>
    <s v="Marseille"/>
    <s v="Shipping"/>
    <s v="Logistics"/>
    <x v="0"/>
    <x v="1"/>
    <s v="Saadé"/>
    <s v="Jacques"/>
    <n v="9800"/>
    <n v="1971"/>
    <n v="8"/>
    <n v="10"/>
    <n v="110.05"/>
    <n v="2715518274227"/>
    <n v="82.5"/>
    <n v="24.2"/>
    <n v="60.7"/>
    <n v="67059887"/>
    <x v="168"/>
    <d v="2025-12-27T00:00:00"/>
    <d v="1971-08-10T00:00:00"/>
  </r>
  <r>
    <n v="184"/>
    <x v="8"/>
    <x v="174"/>
    <s v="France"/>
    <s v="Marseille"/>
    <s v="Shipping"/>
    <s v="Logistics"/>
    <x v="0"/>
    <x v="1"/>
    <s v="Saadé"/>
    <s v="Rodolphe"/>
    <n v="9800"/>
    <n v="1970"/>
    <n v="3"/>
    <n v="3"/>
    <n v="110.05"/>
    <n v="2715518274227"/>
    <n v="82.5"/>
    <n v="24.2"/>
    <n v="60.7"/>
    <n v="67059887"/>
    <x v="169"/>
    <d v="2025-12-27T00:00:00"/>
    <d v="1970-03-03T00:00:00"/>
  </r>
  <r>
    <n v="184"/>
    <x v="8"/>
    <x v="175"/>
    <s v="France"/>
    <s v="Marseille"/>
    <s v="Shipping"/>
    <s v="Logistics"/>
    <x v="0"/>
    <x v="2"/>
    <s v="Saadé Zeenny"/>
    <s v="Tanya"/>
    <n v="9800"/>
    <n v="1968"/>
    <n v="2"/>
    <n v="1"/>
    <n v="110.05"/>
    <n v="2715518274227"/>
    <n v="82.5"/>
    <n v="24.2"/>
    <n v="60.7"/>
    <n v="67059887"/>
    <x v="170"/>
    <d v="2025-12-27T00:00:00"/>
    <d v="1968-02-01T00:00:00"/>
  </r>
  <r>
    <n v="184"/>
    <x v="3"/>
    <x v="176"/>
    <s v="Sweden"/>
    <s v="Stockholm"/>
    <s v="Investments"/>
    <s v="Finance &amp; Investments"/>
    <x v="1"/>
    <x v="1"/>
    <s v="Schorling"/>
    <s v="Melker"/>
    <n v="9800"/>
    <n v="1947"/>
    <n v="5"/>
    <n v="15"/>
    <n v="110.51"/>
    <n v="530832908738"/>
    <n v="82.5"/>
    <n v="27.9"/>
    <n v="49.1"/>
    <n v="10285453"/>
    <x v="171"/>
    <d v="2025-12-27T00:00:00"/>
    <d v="1947-05-15T00:00:00"/>
  </r>
  <r>
    <n v="190"/>
    <x v="10"/>
    <x v="177"/>
    <s v="Russia"/>
    <s v="Moscow"/>
    <s v="Fertilizers"/>
    <s v="Manufacturing"/>
    <x v="1"/>
    <x v="1"/>
    <s v="Guriev &amp; family"/>
    <s v="Andrei"/>
    <n v="9700"/>
    <n v="1960"/>
    <n v="3"/>
    <n v="24"/>
    <n v="180.75"/>
    <n v="1699876578871"/>
    <n v="72.7"/>
    <n v="11.4"/>
    <n v="46.2"/>
    <n v="144373535"/>
    <x v="172"/>
    <d v="2025-12-27T00:00:00"/>
    <d v="1960-03-24T00:00:00"/>
  </r>
  <r>
    <n v="190"/>
    <x v="3"/>
    <x v="178"/>
    <s v="South Korea"/>
    <s v="Seoul"/>
    <s v="Private equity"/>
    <s v="Finance &amp; Investments"/>
    <x v="1"/>
    <x v="1"/>
    <s v="Kim"/>
    <s v="Michael"/>
    <n v="9700"/>
    <n v="1963"/>
    <n v="10"/>
    <n v="1"/>
    <n v="115.16"/>
    <n v="2029000000000"/>
    <n v="82.6"/>
    <n v="15.6"/>
    <n v="33.200000000000003"/>
    <n v="51709098"/>
    <x v="173"/>
    <d v="2025-12-27T00:00:00"/>
    <d v="1963-10-01T00:00:00"/>
  </r>
  <r>
    <n v="190"/>
    <x v="2"/>
    <x v="179"/>
    <s v="China"/>
    <s v="Beijing"/>
    <s v="Smartphones"/>
    <s v="Technology"/>
    <x v="1"/>
    <x v="1"/>
    <s v="Lei"/>
    <s v="Jun"/>
    <n v="9700"/>
    <n v="1969"/>
    <n v="12"/>
    <n v="16"/>
    <n v="125.08"/>
    <n v="19910000000000"/>
    <n v="77"/>
    <n v="9.4"/>
    <n v="59.2"/>
    <n v="1397715000"/>
    <x v="174"/>
    <d v="2025-12-27T00:00:00"/>
    <d v="1969-12-16T00:00:00"/>
  </r>
  <r>
    <n v="190"/>
    <x v="10"/>
    <x v="180"/>
    <s v="Germany"/>
    <s v="Haiger"/>
    <s v="Manufacturing"/>
    <s v="Manufacturing"/>
    <x v="0"/>
    <x v="1"/>
    <s v="Loh"/>
    <s v="Friedhelm"/>
    <n v="9700"/>
    <n v="1946"/>
    <n v="8"/>
    <n v="15"/>
    <n v="112.85"/>
    <n v="3845630030824"/>
    <n v="80.900000000000006"/>
    <n v="11.5"/>
    <n v="48.8"/>
    <n v="83132799"/>
    <x v="175"/>
    <d v="2025-12-27T00:00:00"/>
    <d v="1946-08-15T00:00:00"/>
  </r>
  <r>
    <n v="190"/>
    <x v="13"/>
    <x v="181"/>
    <s v="China"/>
    <s v="Lianyungang"/>
    <s v="Pharmaceuticals"/>
    <s v="Healthcare"/>
    <x v="1"/>
    <x v="1"/>
    <s v="Sun"/>
    <s v="Piaoyang"/>
    <n v="9700"/>
    <n v="1958"/>
    <n v="9"/>
    <n v="1"/>
    <n v="125.08"/>
    <n v="19910000000000"/>
    <n v="77"/>
    <n v="9.4"/>
    <n v="59.2"/>
    <n v="1397715000"/>
    <x v="176"/>
    <d v="2025-12-27T00:00:00"/>
    <d v="1958-09-01T00:00:00"/>
  </r>
  <r>
    <n v="195"/>
    <x v="2"/>
    <x v="182"/>
    <s v="United States"/>
    <s v="Keene"/>
    <s v="Warehouse automation"/>
    <s v="Technology"/>
    <x v="0"/>
    <x v="1"/>
    <s v="Cohen"/>
    <s v="Rick"/>
    <n v="9600"/>
    <n v="1952"/>
    <n v="7"/>
    <n v="25"/>
    <n v="117.24"/>
    <n v="21427700000000"/>
    <n v="78.5"/>
    <n v="9.6"/>
    <n v="36.6"/>
    <n v="328239523"/>
    <x v="177"/>
    <d v="2025-12-27T00:00:00"/>
    <d v="1952-07-25T00:00:00"/>
  </r>
  <r>
    <n v="195"/>
    <x v="12"/>
    <x v="183"/>
    <s v="China"/>
    <s v="Xingtai"/>
    <s v="Solar panels"/>
    <s v="Energy"/>
    <x v="1"/>
    <x v="1"/>
    <s v="Jin"/>
    <s v="Baofang"/>
    <n v="9600"/>
    <n v="1952"/>
    <n v="9"/>
    <n v="1"/>
    <n v="125.08"/>
    <n v="19910000000000"/>
    <n v="77"/>
    <n v="9.4"/>
    <n v="59.2"/>
    <n v="1397715000"/>
    <x v="178"/>
    <d v="2025-12-27T00:00:00"/>
    <d v="1952-09-01T00:00:00"/>
  </r>
  <r>
    <n v="195"/>
    <x v="10"/>
    <x v="184"/>
    <s v="China"/>
    <s v="Ningbo"/>
    <s v="Chemicals"/>
    <s v="Manufacturing"/>
    <x v="1"/>
    <x v="1"/>
    <s v="Luo"/>
    <s v="Liguo"/>
    <n v="9600"/>
    <n v="1956"/>
    <n v="3"/>
    <n v="1"/>
    <n v="125.08"/>
    <n v="19910000000000"/>
    <n v="77"/>
    <n v="9.4"/>
    <n v="59.2"/>
    <n v="1397715000"/>
    <x v="179"/>
    <d v="2025-12-27T00:00:00"/>
    <d v="1956-03-01T00:00:00"/>
  </r>
  <r>
    <n v="195"/>
    <x v="7"/>
    <x v="185"/>
    <s v="United States"/>
    <s v="Los Angeles"/>
    <s v="Candy, pet food"/>
    <s v="Food &amp; Beverage"/>
    <x v="0"/>
    <x v="2"/>
    <s v="Mars"/>
    <s v="Marijke"/>
    <n v="9600"/>
    <n v="1964"/>
    <n v="7"/>
    <n v="28"/>
    <n v="117.24"/>
    <n v="21427700000000"/>
    <n v="78.5"/>
    <n v="9.6"/>
    <n v="36.6"/>
    <n v="328239523"/>
    <x v="180"/>
    <d v="2025-12-27T00:00:00"/>
    <d v="1964-07-28T00:00:00"/>
  </r>
  <r>
    <n v="195"/>
    <x v="7"/>
    <x v="186"/>
    <s v="United States"/>
    <s v="Alexandria"/>
    <s v="Candy, pet food"/>
    <s v="Food &amp; Beverage"/>
    <x v="0"/>
    <x v="2"/>
    <s v="Mars"/>
    <s v="Pamela"/>
    <n v="9600"/>
    <n v="1960"/>
    <n v="8"/>
    <n v="1"/>
    <n v="117.24"/>
    <n v="21427700000000"/>
    <n v="78.5"/>
    <n v="9.6"/>
    <n v="36.6"/>
    <n v="328239523"/>
    <x v="181"/>
    <d v="2025-12-27T00:00:00"/>
    <d v="1960-08-01T00:00:00"/>
  </r>
  <r>
    <n v="195"/>
    <x v="7"/>
    <x v="187"/>
    <s v="United States"/>
    <s v="New York"/>
    <s v="Candy, pet food"/>
    <s v="Food &amp; Beverage"/>
    <x v="0"/>
    <x v="2"/>
    <s v="Mars"/>
    <s v="Valerie"/>
    <n v="9600"/>
    <n v="1959"/>
    <n v="1"/>
    <n v="26"/>
    <n v="117.24"/>
    <n v="21427700000000"/>
    <n v="78.5"/>
    <n v="9.6"/>
    <n v="36.6"/>
    <n v="328239523"/>
    <x v="182"/>
    <d v="2025-12-27T00:00:00"/>
    <d v="1959-01-26T00:00:00"/>
  </r>
  <r>
    <n v="195"/>
    <x v="7"/>
    <x v="188"/>
    <s v="United States"/>
    <s v="Philadelphia"/>
    <s v="Candy, pet food"/>
    <s v="Food &amp; Beverage"/>
    <x v="0"/>
    <x v="2"/>
    <s v="Mars"/>
    <s v="Victoria"/>
    <n v="9600"/>
    <n v="1956"/>
    <n v="12"/>
    <n v="15"/>
    <n v="117.24"/>
    <n v="21427700000000"/>
    <n v="78.5"/>
    <n v="9.6"/>
    <n v="36.6"/>
    <n v="328239523"/>
    <x v="183"/>
    <d v="2025-12-27T00:00:00"/>
    <d v="1956-12-15T00:00:00"/>
  </r>
  <r>
    <n v="202"/>
    <x v="3"/>
    <x v="189"/>
    <s v="France"/>
    <s v="Paris"/>
    <s v="Investments"/>
    <s v="Finance &amp; Investments"/>
    <x v="0"/>
    <x v="1"/>
    <s v="Bolloré"/>
    <s v="Vincent"/>
    <n v="9500"/>
    <n v="1952"/>
    <n v="4"/>
    <n v="1"/>
    <n v="110.05"/>
    <n v="2715518274227"/>
    <n v="82.5"/>
    <n v="24.2"/>
    <n v="60.7"/>
    <n v="67059887"/>
    <x v="184"/>
    <d v="2025-12-27T00:00:00"/>
    <d v="1952-04-01T00:00:00"/>
  </r>
  <r>
    <n v="202"/>
    <x v="6"/>
    <x v="190"/>
    <s v="Canada"/>
    <s v="Vancouver"/>
    <s v="Diversified"/>
    <s v="Diversified"/>
    <x v="1"/>
    <x v="1"/>
    <s v="Pattison"/>
    <s v="Jim"/>
    <n v="9500"/>
    <n v="1928"/>
    <n v="10"/>
    <n v="1"/>
    <n v="116.76"/>
    <n v="1736425629520"/>
    <n v="81.900000000000006"/>
    <n v="12.8"/>
    <n v="24.5"/>
    <n v="36991981"/>
    <x v="185"/>
    <d v="2025-12-27T00:00:00"/>
    <d v="1928-10-01T00:00:00"/>
  </r>
  <r>
    <n v="204"/>
    <x v="13"/>
    <x v="191"/>
    <s v="Switzerland"/>
    <s v="Gstaad"/>
    <s v="Biotech, investments"/>
    <s v="Healthcare"/>
    <x v="0"/>
    <x v="1"/>
    <s v="Bertarelli"/>
    <s v="Ernesto"/>
    <n v="9400"/>
    <n v="1965"/>
    <n v="9"/>
    <n v="22"/>
    <n v="99.55"/>
    <n v="703082435360"/>
    <n v="83.6"/>
    <n v="10.1"/>
    <n v="28.8"/>
    <n v="8574832"/>
    <x v="186"/>
    <d v="2025-12-27T00:00:00"/>
    <d v="1965-09-22T00:00:00"/>
  </r>
  <r>
    <n v="204"/>
    <x v="2"/>
    <x v="192"/>
    <s v="China"/>
    <s v="Beijing"/>
    <s v="Food delivery"/>
    <s v="Technology"/>
    <x v="1"/>
    <x v="1"/>
    <s v="Wang"/>
    <s v="Xing"/>
    <n v="9400"/>
    <n v="1979"/>
    <n v="2"/>
    <n v="18"/>
    <n v="125.08"/>
    <n v="19910000000000"/>
    <n v="77"/>
    <n v="9.4"/>
    <n v="59.2"/>
    <n v="1397715000"/>
    <x v="187"/>
    <d v="2025-12-27T00:00:00"/>
    <d v="1979-02-18T00:00:00"/>
  </r>
  <r>
    <n v="206"/>
    <x v="2"/>
    <x v="193"/>
    <s v="United States"/>
    <s v="San Francisco"/>
    <s v="Airbnb"/>
    <s v="Technology"/>
    <x v="1"/>
    <x v="1"/>
    <s v="Chesky"/>
    <s v="Brian"/>
    <n v="9300"/>
    <n v="1981"/>
    <n v="8"/>
    <n v="29"/>
    <n v="117.24"/>
    <n v="21427700000000"/>
    <n v="78.5"/>
    <n v="9.6"/>
    <n v="36.6"/>
    <n v="328239523"/>
    <x v="188"/>
    <d v="2025-12-27T00:00:00"/>
    <d v="1981-08-29T00:00:00"/>
  </r>
  <r>
    <n v="206"/>
    <x v="10"/>
    <x v="194"/>
    <s v="United Kingdom"/>
    <s v="Gloucestershire"/>
    <s v="Vacuums"/>
    <s v="Manufacturing"/>
    <x v="1"/>
    <x v="1"/>
    <s v="Dyson"/>
    <s v="James"/>
    <n v="9300"/>
    <n v="1947"/>
    <n v="5"/>
    <n v="2"/>
    <n v="119.62"/>
    <n v="2827113184696"/>
    <n v="81.3"/>
    <n v="25.5"/>
    <n v="30.6"/>
    <n v="66834405"/>
    <x v="189"/>
    <d v="2025-12-27T00:00:00"/>
    <d v="1947-05-02T00:00:00"/>
  </r>
  <r>
    <n v="208"/>
    <x v="6"/>
    <x v="195"/>
    <s v="Russia"/>
    <s v="Moscow"/>
    <s v="Steel, investments"/>
    <s v="Diversified"/>
    <x v="1"/>
    <x v="1"/>
    <s v="Abramovich"/>
    <s v="Roman"/>
    <n v="9200"/>
    <n v="1966"/>
    <n v="10"/>
    <n v="24"/>
    <n v="180.75"/>
    <n v="1699876578871"/>
    <n v="72.7"/>
    <n v="11.4"/>
    <n v="46.2"/>
    <n v="144373535"/>
    <x v="190"/>
    <d v="2025-12-27T00:00:00"/>
    <d v="1966-10-24T00:00:00"/>
  </r>
  <r>
    <n v="208"/>
    <x v="6"/>
    <x v="196"/>
    <s v="Sweden"/>
    <s v="Stockholm"/>
    <s v="Diversified"/>
    <s v="Diversified"/>
    <x v="0"/>
    <x v="2"/>
    <s v="Ax:son Johnson"/>
    <s v="Antonia"/>
    <n v="9200"/>
    <n v="1943"/>
    <n v="9"/>
    <n v="6"/>
    <n v="110.51"/>
    <n v="530832908738"/>
    <n v="82.5"/>
    <n v="27.9"/>
    <n v="49.1"/>
    <n v="10285453"/>
    <x v="191"/>
    <d v="2025-12-27T00:00:00"/>
    <d v="1943-09-06T00:00:00"/>
  </r>
  <r>
    <n v="208"/>
    <x v="12"/>
    <x v="197"/>
    <s v="Czech Republic"/>
    <s v="Prague"/>
    <s v="Energy, investments"/>
    <s v="Energy"/>
    <x v="1"/>
    <x v="1"/>
    <s v="Kretinsky"/>
    <s v="Daniel"/>
    <n v="9200"/>
    <n v="1975"/>
    <n v="7"/>
    <n v="9"/>
    <n v="116.48"/>
    <n v="246489245495"/>
    <n v="79"/>
    <n v="14.9"/>
    <n v="46.1"/>
    <n v="10669709"/>
    <x v="192"/>
    <d v="2025-12-27T00:00:00"/>
    <d v="1975-07-09T00:00:00"/>
  </r>
  <r>
    <n v="208"/>
    <x v="4"/>
    <x v="198"/>
    <s v="United States"/>
    <s v="Elizabeth"/>
    <s v="Cable television"/>
    <s v="Media &amp; Entertainment"/>
    <x v="1"/>
    <x v="1"/>
    <s v="Malone"/>
    <s v="John"/>
    <n v="9200"/>
    <n v="1941"/>
    <n v="3"/>
    <n v="7"/>
    <n v="117.24"/>
    <n v="21427700000000"/>
    <n v="78.5"/>
    <n v="9.6"/>
    <n v="36.6"/>
    <n v="328239523"/>
    <x v="193"/>
    <d v="2025-12-27T00:00:00"/>
    <d v="1941-03-07T00:00:00"/>
  </r>
  <r>
    <n v="208"/>
    <x v="2"/>
    <x v="199"/>
    <s v="India"/>
    <s v="Bangalore"/>
    <s v="Software services"/>
    <s v="Technology"/>
    <x v="0"/>
    <x v="1"/>
    <s v="Premji"/>
    <s v="Azim"/>
    <n v="9200"/>
    <n v="1945"/>
    <n v="7"/>
    <n v="24"/>
    <n v="180.44"/>
    <n v="2611000000000"/>
    <n v="69.400000000000006"/>
    <n v="11.2"/>
    <n v="49.7"/>
    <n v="1366417754"/>
    <x v="194"/>
    <d v="2025-12-27T00:00:00"/>
    <d v="1945-07-24T00:00:00"/>
  </r>
  <r>
    <n v="208"/>
    <x v="3"/>
    <x v="200"/>
    <s v="United States"/>
    <s v="Woodside"/>
    <s v="Discount brokerage"/>
    <s v="Finance &amp; Investments"/>
    <x v="1"/>
    <x v="1"/>
    <s v="Schwab"/>
    <s v="Charles"/>
    <n v="9200"/>
    <n v="1937"/>
    <n v="7"/>
    <n v="29"/>
    <n v="117.24"/>
    <n v="21427700000000"/>
    <n v="78.5"/>
    <n v="9.6"/>
    <n v="36.6"/>
    <n v="328239523"/>
    <x v="195"/>
    <d v="2025-12-27T00:00:00"/>
    <d v="1937-07-29T00:00:00"/>
  </r>
  <r>
    <n v="208"/>
    <x v="0"/>
    <x v="201"/>
    <s v="United States"/>
    <s v="Beverly Hills"/>
    <s v="Hardware stores"/>
    <s v="Fashion &amp; Retail"/>
    <x v="1"/>
    <x v="1"/>
    <s v="Smidt"/>
    <s v="Eric"/>
    <n v="9200"/>
    <n v="1960"/>
    <n v="1"/>
    <n v="1"/>
    <n v="117.24"/>
    <n v="21427700000000"/>
    <n v="78.5"/>
    <n v="9.6"/>
    <n v="36.6"/>
    <n v="328239523"/>
    <x v="196"/>
    <d v="2025-12-27T00:00:00"/>
    <d v="1960-01-01T00:00:00"/>
  </r>
  <r>
    <n v="215"/>
    <x v="2"/>
    <x v="202"/>
    <s v="United States"/>
    <s v="Palo Alto"/>
    <s v="Google"/>
    <s v="Technology"/>
    <x v="1"/>
    <x v="1"/>
    <s v="Cheriton"/>
    <s v="David"/>
    <n v="9000"/>
    <n v="1951"/>
    <n v="3"/>
    <n v="29"/>
    <n v="117.24"/>
    <n v="21427700000000"/>
    <n v="78.5"/>
    <n v="9.6"/>
    <n v="36.6"/>
    <n v="328239523"/>
    <x v="197"/>
    <d v="2025-12-27T00:00:00"/>
    <d v="1951-03-29T00:00:00"/>
  </r>
  <r>
    <n v="215"/>
    <x v="11"/>
    <x v="203"/>
    <s v="Switzerland"/>
    <s v="Ruschlikon"/>
    <s v="Mining"/>
    <s v="Metals &amp; Mining"/>
    <x v="1"/>
    <x v="1"/>
    <s v="Glasenberg"/>
    <s v="Ivan"/>
    <n v="9000"/>
    <n v="1957"/>
    <n v="1"/>
    <n v="7"/>
    <n v="99.55"/>
    <n v="703082435360"/>
    <n v="83.6"/>
    <n v="10.1"/>
    <n v="28.8"/>
    <n v="8574832"/>
    <x v="198"/>
    <d v="2025-12-27T00:00:00"/>
    <d v="1957-01-07T00:00:00"/>
  </r>
  <r>
    <n v="215"/>
    <x v="15"/>
    <x v="204"/>
    <s v="Germany"/>
    <s v="Hamburg"/>
    <s v="Real estate"/>
    <s v="Real Estate"/>
    <x v="0"/>
    <x v="1"/>
    <s v="Otto"/>
    <s v="Alexander"/>
    <n v="9000"/>
    <n v="1967"/>
    <n v="7"/>
    <n v="7"/>
    <n v="112.85"/>
    <n v="3845630030824"/>
    <n v="80.900000000000006"/>
    <n v="11.5"/>
    <n v="48.8"/>
    <n v="83132799"/>
    <x v="199"/>
    <d v="2025-12-27T00:00:00"/>
    <d v="1967-07-07T00:00:00"/>
  </r>
  <r>
    <n v="215"/>
    <x v="7"/>
    <x v="205"/>
    <s v="Canada"/>
    <s v="Vancouver"/>
    <s v="Alcoholic beverages"/>
    <s v="Food &amp; Beverage"/>
    <x v="1"/>
    <x v="1"/>
    <s v="von Mandl"/>
    <s v="Anthony"/>
    <n v="9000"/>
    <n v="1950"/>
    <n v="3"/>
    <n v="10"/>
    <n v="116.76"/>
    <n v="1736425629520"/>
    <n v="81.900000000000006"/>
    <n v="12.8"/>
    <n v="24.5"/>
    <n v="36991981"/>
    <x v="200"/>
    <d v="2025-12-27T00:00:00"/>
    <d v="1950-03-10T00:00:00"/>
  </r>
  <r>
    <n v="215"/>
    <x v="10"/>
    <x v="206"/>
    <s v="China"/>
    <s v="Changzhou"/>
    <s v="Hydraulic machinery"/>
    <s v="Manufacturing"/>
    <x v="1"/>
    <x v="1"/>
    <s v="Wang"/>
    <s v="Liping"/>
    <n v="9000"/>
    <n v="1966"/>
    <n v="2"/>
    <n v="24"/>
    <n v="125.08"/>
    <n v="19910000000000"/>
    <n v="77"/>
    <n v="9.4"/>
    <n v="59.2"/>
    <n v="1397715000"/>
    <x v="201"/>
    <d v="2025-12-27T00:00:00"/>
    <d v="1966-02-24T00:00:00"/>
  </r>
  <r>
    <n v="220"/>
    <x v="7"/>
    <x v="207"/>
    <s v="United Kingdom"/>
    <s v="London"/>
    <s v="Packaging"/>
    <s v="Food &amp; Beverage"/>
    <x v="0"/>
    <x v="1"/>
    <s v="Rausing"/>
    <s v="Finn"/>
    <n v="8900"/>
    <n v="1955"/>
    <n v="1"/>
    <n v="1"/>
    <n v="119.62"/>
    <n v="2827113184696"/>
    <n v="81.3"/>
    <n v="25.5"/>
    <n v="30.6"/>
    <n v="66834405"/>
    <x v="105"/>
    <d v="2025-12-27T00:00:00"/>
    <d v="1955-01-01T00:00:00"/>
  </r>
  <r>
    <n v="220"/>
    <x v="7"/>
    <x v="208"/>
    <s v="United Kingdom"/>
    <s v="Surrey"/>
    <s v="Packaging"/>
    <s v="Food &amp; Beverage"/>
    <x v="0"/>
    <x v="1"/>
    <s v="Rausing"/>
    <s v="Jorn"/>
    <n v="8900"/>
    <n v="1960"/>
    <n v="1"/>
    <n v="1"/>
    <n v="119.62"/>
    <n v="2827113184696"/>
    <n v="81.3"/>
    <n v="25.5"/>
    <n v="30.6"/>
    <n v="66834405"/>
    <x v="196"/>
    <d v="2025-12-27T00:00:00"/>
    <d v="1960-01-01T00:00:00"/>
  </r>
  <r>
    <n v="220"/>
    <x v="7"/>
    <x v="209"/>
    <s v="United Kingdom"/>
    <s v="Newmarket"/>
    <s v="Packaging"/>
    <s v="Food &amp; Beverage"/>
    <x v="0"/>
    <x v="2"/>
    <s v="Rausing"/>
    <s v="Kirsten"/>
    <n v="8900"/>
    <n v="1952"/>
    <n v="6"/>
    <n v="6"/>
    <n v="119.62"/>
    <n v="2827113184696"/>
    <n v="81.3"/>
    <n v="25.5"/>
    <n v="30.6"/>
    <n v="66834405"/>
    <x v="202"/>
    <d v="2025-12-27T00:00:00"/>
    <d v="1952-06-06T00:00:00"/>
  </r>
  <r>
    <n v="223"/>
    <x v="0"/>
    <x v="210"/>
    <s v="Russia"/>
    <s v="Moscow region"/>
    <s v="Ecommerce"/>
    <s v="Fashion &amp; Retail"/>
    <x v="1"/>
    <x v="2"/>
    <s v="Bakalchuk"/>
    <s v="Tatyana"/>
    <n v="8800"/>
    <n v="1975"/>
    <n v="10"/>
    <n v="16"/>
    <n v="180.75"/>
    <n v="1699876578871"/>
    <n v="72.7"/>
    <n v="11.4"/>
    <n v="46.2"/>
    <n v="144373535"/>
    <x v="203"/>
    <d v="2025-12-27T00:00:00"/>
    <d v="1975-10-16T00:00:00"/>
  </r>
  <r>
    <n v="223"/>
    <x v="2"/>
    <x v="211"/>
    <s v="United States"/>
    <s v="Woodside"/>
    <s v="Venture capital"/>
    <s v="Technology"/>
    <x v="1"/>
    <x v="1"/>
    <s v="Doerr"/>
    <s v="John"/>
    <n v="8800"/>
    <n v="1951"/>
    <n v="6"/>
    <n v="29"/>
    <n v="117.24"/>
    <n v="21427700000000"/>
    <n v="78.5"/>
    <n v="9.6"/>
    <n v="36.6"/>
    <n v="328239523"/>
    <x v="204"/>
    <d v="2025-12-27T00:00:00"/>
    <d v="1951-06-29T00:00:00"/>
  </r>
  <r>
    <n v="223"/>
    <x v="2"/>
    <x v="212"/>
    <s v="China"/>
    <s v="Beijing"/>
    <s v="E-commerce"/>
    <s v="Technology"/>
    <x v="1"/>
    <x v="1"/>
    <s v="Liu"/>
    <s v="Richard"/>
    <n v="8800"/>
    <n v="1974"/>
    <n v="3"/>
    <n v="10"/>
    <n v="125.08"/>
    <n v="19910000000000"/>
    <n v="77"/>
    <n v="9.4"/>
    <n v="59.2"/>
    <n v="1397715000"/>
    <x v="205"/>
    <d v="2025-12-27T00:00:00"/>
    <d v="1974-03-10T00:00:00"/>
  </r>
  <r>
    <n v="223"/>
    <x v="2"/>
    <x v="213"/>
    <s v="United States"/>
    <s v="San Francisco"/>
    <s v="Facebook"/>
    <s v="Technology"/>
    <x v="1"/>
    <x v="1"/>
    <s v="Moskovitz"/>
    <s v="Dustin"/>
    <n v="8800"/>
    <n v="1984"/>
    <n v="5"/>
    <n v="22"/>
    <n v="117.24"/>
    <n v="21427700000000"/>
    <n v="78.5"/>
    <n v="9.6"/>
    <n v="36.6"/>
    <n v="328239523"/>
    <x v="206"/>
    <d v="2025-12-27T00:00:00"/>
    <d v="1984-05-22T00:00:00"/>
  </r>
  <r>
    <n v="223"/>
    <x v="2"/>
    <x v="214"/>
    <s v="United States"/>
    <s v="Honolulu"/>
    <s v="EBay, PayPal"/>
    <s v="Technology"/>
    <x v="1"/>
    <x v="1"/>
    <s v="Omidyar"/>
    <s v="Pierre"/>
    <n v="8800"/>
    <n v="1967"/>
    <n v="6"/>
    <n v="21"/>
    <n v="117.24"/>
    <n v="21427700000000"/>
    <n v="78.5"/>
    <n v="9.6"/>
    <n v="36.6"/>
    <n v="328239523"/>
    <x v="207"/>
    <d v="2025-12-27T00:00:00"/>
    <d v="1967-06-21T00:00:00"/>
  </r>
  <r>
    <n v="223"/>
    <x v="12"/>
    <x v="215"/>
    <s v="China"/>
    <s v="Ningde"/>
    <s v="Batteries"/>
    <s v="Energy"/>
    <x v="1"/>
    <x v="1"/>
    <s v="Pei"/>
    <s v="Zhenhua"/>
    <n v="8800"/>
    <n v="1959"/>
    <n v="1"/>
    <n v="1"/>
    <n v="125.08"/>
    <n v="19910000000000"/>
    <n v="77"/>
    <n v="9.4"/>
    <n v="59.2"/>
    <n v="1397715000"/>
    <x v="208"/>
    <d v="2025-12-27T00:00:00"/>
    <d v="1959-01-01T00:00:00"/>
  </r>
  <r>
    <n v="223"/>
    <x v="12"/>
    <x v="216"/>
    <s v="United Kingdom"/>
    <s v="London"/>
    <s v="Oil"/>
    <s v="Energy"/>
    <x v="0"/>
    <x v="2"/>
    <s v="Perrodo"/>
    <s v="Carrie"/>
    <n v="8800"/>
    <n v="1951"/>
    <n v="1"/>
    <n v="1"/>
    <n v="119.62"/>
    <n v="2827113184696"/>
    <n v="81.3"/>
    <n v="25.5"/>
    <n v="30.6"/>
    <n v="66834405"/>
    <x v="96"/>
    <d v="2025-12-27T00:00:00"/>
    <d v="1951-01-01T00:00:00"/>
  </r>
  <r>
    <n v="230"/>
    <x v="10"/>
    <x v="217"/>
    <s v="China"/>
    <s v="Wujiang"/>
    <s v="Chemicals"/>
    <s v="Manufacturing"/>
    <x v="1"/>
    <x v="1"/>
    <s v="Chen"/>
    <s v="Jianhua"/>
    <n v="8700"/>
    <n v="1971"/>
    <n v="1"/>
    <n v="1"/>
    <n v="125.08"/>
    <n v="19910000000000"/>
    <n v="77"/>
    <n v="9.4"/>
    <n v="59.2"/>
    <n v="1397715000"/>
    <x v="209"/>
    <d v="2025-12-27T00:00:00"/>
    <d v="1971-01-01T00:00:00"/>
  </r>
  <r>
    <n v="230"/>
    <x v="0"/>
    <x v="218"/>
    <s v="Germany"/>
    <s v="Hamburg"/>
    <s v="Retail, real estate"/>
    <s v="Fashion &amp; Retail"/>
    <x v="0"/>
    <x v="1"/>
    <s v="Otto"/>
    <s v="Michael"/>
    <n v="8700"/>
    <n v="1943"/>
    <n v="4"/>
    <n v="12"/>
    <n v="112.85"/>
    <n v="3845630030824"/>
    <n v="80.900000000000006"/>
    <n v="11.5"/>
    <n v="48.8"/>
    <n v="83132799"/>
    <x v="210"/>
    <d v="2025-12-27T00:00:00"/>
    <d v="1943-04-12T00:00:00"/>
  </r>
  <r>
    <n v="232"/>
    <x v="3"/>
    <x v="219"/>
    <s v="United States"/>
    <s v="New York"/>
    <s v="Private equity"/>
    <s v="Finance &amp; Investments"/>
    <x v="1"/>
    <x v="1"/>
    <s v="Black"/>
    <s v="Leon"/>
    <n v="8600"/>
    <n v="1951"/>
    <n v="7"/>
    <n v="31"/>
    <n v="117.24"/>
    <n v="21427700000000"/>
    <n v="78.5"/>
    <n v="9.6"/>
    <n v="36.6"/>
    <n v="328239523"/>
    <x v="211"/>
    <d v="2025-12-27T00:00:00"/>
    <d v="1951-07-31T00:00:00"/>
  </r>
  <r>
    <n v="232"/>
    <x v="3"/>
    <x v="220"/>
    <s v="New Zealand"/>
    <s v="Auckland"/>
    <s v="Investments"/>
    <s v="Finance &amp; Investments"/>
    <x v="1"/>
    <x v="1"/>
    <s v="Hart"/>
    <s v="Graeme"/>
    <n v="8600"/>
    <n v="1955"/>
    <n v="6"/>
    <n v="6"/>
    <n v="114.24"/>
    <n v="206928765544"/>
    <n v="81.900000000000006"/>
    <n v="29"/>
    <n v="34.6"/>
    <n v="4841000"/>
    <x v="212"/>
    <d v="2025-12-27T00:00:00"/>
    <d v="1955-06-06T00:00:00"/>
  </r>
  <r>
    <n v="232"/>
    <x v="7"/>
    <x v="221"/>
    <s v="India"/>
    <s v="Delhi"/>
    <s v="Soft drinks, fast food"/>
    <s v="Food &amp; Beverage"/>
    <x v="0"/>
    <x v="1"/>
    <s v="Jaipuria"/>
    <s v="Ravi"/>
    <n v="8600"/>
    <n v="1954"/>
    <n v="11"/>
    <n v="28"/>
    <n v="180.44"/>
    <n v="2611000000000"/>
    <n v="69.400000000000006"/>
    <n v="11.2"/>
    <n v="49.7"/>
    <n v="1366417754"/>
    <x v="213"/>
    <d v="2025-12-27T00:00:00"/>
    <d v="1954-11-28T00:00:00"/>
  </r>
  <r>
    <n v="232"/>
    <x v="2"/>
    <x v="222"/>
    <s v="Germany"/>
    <s v="Heidelberg"/>
    <s v="Software"/>
    <s v="Technology"/>
    <x v="1"/>
    <x v="1"/>
    <s v="Plattner"/>
    <s v="Hasso"/>
    <n v="8600"/>
    <n v="1944"/>
    <n v="1"/>
    <n v="21"/>
    <n v="112.85"/>
    <n v="3845630030824"/>
    <n v="80.900000000000006"/>
    <n v="11.5"/>
    <n v="48.8"/>
    <n v="83132799"/>
    <x v="214"/>
    <d v="2025-12-27T00:00:00"/>
    <d v="1944-01-21T00:00:00"/>
  </r>
  <r>
    <n v="232"/>
    <x v="7"/>
    <x v="223"/>
    <s v="Switzerland"/>
    <s v="St. Gallen"/>
    <s v="Beer"/>
    <s v="Food &amp; Beverage"/>
    <x v="1"/>
    <x v="1"/>
    <s v="Sicupira"/>
    <s v="Carlos Alberto"/>
    <n v="8600"/>
    <n v="1948"/>
    <n v="1"/>
    <n v="1"/>
    <n v="99.55"/>
    <n v="703082435360"/>
    <n v="83.6"/>
    <n v="10.1"/>
    <n v="28.8"/>
    <n v="8574832"/>
    <x v="215"/>
    <d v="2025-12-27T00:00:00"/>
    <d v="1948-01-01T00:00:00"/>
  </r>
  <r>
    <n v="232"/>
    <x v="15"/>
    <x v="224"/>
    <s v="Philippines"/>
    <s v="Manila"/>
    <s v="Real estate"/>
    <s v="Real Estate"/>
    <x v="1"/>
    <x v="1"/>
    <s v="Villar"/>
    <s v="Manuel"/>
    <n v="8600"/>
    <n v="1949"/>
    <n v="12"/>
    <n v="13"/>
    <n v="129.61000000000001"/>
    <n v="376795508680"/>
    <n v="71.099999999999994"/>
    <n v="14"/>
    <n v="43.1"/>
    <n v="108116615"/>
    <x v="216"/>
    <d v="2025-12-27T00:00:00"/>
    <d v="1949-12-13T00:00:00"/>
  </r>
  <r>
    <n v="232"/>
    <x v="2"/>
    <x v="225"/>
    <s v="United States"/>
    <s v="Palo Alto"/>
    <s v="Google"/>
    <s v="Technology"/>
    <x v="1"/>
    <x v="1"/>
    <s v="von Bechtolsheim"/>
    <s v="Andreas"/>
    <n v="8600"/>
    <n v="1955"/>
    <n v="9"/>
    <n v="30"/>
    <n v="117.24"/>
    <n v="21427700000000"/>
    <n v="78.5"/>
    <n v="9.6"/>
    <n v="36.6"/>
    <n v="328239523"/>
    <x v="217"/>
    <d v="2025-12-27T00:00:00"/>
    <d v="1955-09-30T00:00:00"/>
  </r>
  <r>
    <n v="239"/>
    <x v="3"/>
    <x v="226"/>
    <s v="United States"/>
    <s v="New York"/>
    <s v="Investments"/>
    <s v="Finance &amp; Investments"/>
    <x v="1"/>
    <x v="1"/>
    <s v="Coleman"/>
    <s v="Chase"/>
    <n v="8500"/>
    <n v="1975"/>
    <n v="6"/>
    <n v="21"/>
    <n v="117.24"/>
    <n v="21427700000000"/>
    <n v="78.5"/>
    <n v="9.6"/>
    <n v="36.6"/>
    <n v="328239523"/>
    <x v="218"/>
    <d v="2025-12-27T00:00:00"/>
    <d v="1975-06-21T00:00:00"/>
  </r>
  <r>
    <n v="239"/>
    <x v="0"/>
    <x v="227"/>
    <s v="United States"/>
    <s v="Electra"/>
    <s v="Walmart"/>
    <s v="Fashion &amp; Retail"/>
    <x v="0"/>
    <x v="2"/>
    <s v="Kroenke"/>
    <s v="Ann Walton"/>
    <n v="8500"/>
    <n v="1948"/>
    <n v="12"/>
    <n v="18"/>
    <n v="117.24"/>
    <n v="21427700000000"/>
    <n v="78.5"/>
    <n v="9.6"/>
    <n v="36.6"/>
    <n v="328239523"/>
    <x v="219"/>
    <d v="2025-12-27T00:00:00"/>
    <d v="1948-12-18T00:00:00"/>
  </r>
  <r>
    <n v="239"/>
    <x v="10"/>
    <x v="228"/>
    <s v="China"/>
    <s v="Xi'an"/>
    <s v="Solar wafers and modules"/>
    <s v="Manufacturing"/>
    <x v="1"/>
    <x v="1"/>
    <s v="Li"/>
    <s v="Zhenguo"/>
    <n v="8500"/>
    <n v="1968"/>
    <n v="1"/>
    <n v="1"/>
    <n v="125.08"/>
    <n v="19910000000000"/>
    <n v="77"/>
    <n v="9.4"/>
    <n v="59.2"/>
    <n v="1397715000"/>
    <x v="220"/>
    <d v="2025-12-27T00:00:00"/>
    <d v="1968-01-01T00:00:00"/>
  </r>
  <r>
    <n v="242"/>
    <x v="4"/>
    <x v="229"/>
    <s v="United States"/>
    <s v="Atlanta"/>
    <s v="Media, automotive"/>
    <s v="Media &amp; Entertainment"/>
    <x v="0"/>
    <x v="1"/>
    <s v="Kennedy"/>
    <s v="Jim"/>
    <n v="8400"/>
    <n v="1947"/>
    <n v="11"/>
    <n v="29"/>
    <n v="117.24"/>
    <n v="21427700000000"/>
    <n v="78.5"/>
    <n v="9.6"/>
    <n v="36.6"/>
    <n v="328239523"/>
    <x v="221"/>
    <d v="2025-12-27T00:00:00"/>
    <d v="1947-11-29T00:00:00"/>
  </r>
  <r>
    <n v="242"/>
    <x v="11"/>
    <x v="230"/>
    <s v="South Africa"/>
    <s v="Johannesburg"/>
    <s v="Diamonds"/>
    <s v="Metals &amp; Mining"/>
    <x v="0"/>
    <x v="1"/>
    <s v="Oppenheimer"/>
    <s v="Nicky"/>
    <n v="8400"/>
    <n v="1945"/>
    <n v="6"/>
    <n v="8"/>
    <n v="158.93"/>
    <n v="351431649241"/>
    <n v="63.9"/>
    <n v="27.5"/>
    <n v="29.2"/>
    <n v="58558270"/>
    <x v="222"/>
    <d v="2025-12-27T00:00:00"/>
    <d v="1945-06-08T00:00:00"/>
  </r>
  <r>
    <n v="242"/>
    <x v="4"/>
    <x v="231"/>
    <s v="Australia"/>
    <s v="New South Wales"/>
    <s v="Media, automotive"/>
    <s v="Media &amp; Entertainment"/>
    <x v="0"/>
    <x v="2"/>
    <s v="Parry-Okeden"/>
    <s v="Blair"/>
    <n v="8400"/>
    <n v="1950"/>
    <n v="5"/>
    <n v="21"/>
    <n v="119.8"/>
    <n v="1392680589329"/>
    <n v="82.7"/>
    <n v="23"/>
    <n v="47.4"/>
    <n v="25766605"/>
    <x v="223"/>
    <d v="2025-12-27T00:00:00"/>
    <d v="1950-05-21T00:00:00"/>
  </r>
  <r>
    <n v="242"/>
    <x v="11"/>
    <x v="232"/>
    <s v="China"/>
    <s v="Binzhou"/>
    <s v="Aluminum products"/>
    <s v="Metals &amp; Mining"/>
    <x v="0"/>
    <x v="2"/>
    <s v="Zheng"/>
    <s v="Shuliang"/>
    <n v="8400"/>
    <n v="1946"/>
    <n v="1"/>
    <n v="1"/>
    <n v="125.08"/>
    <n v="19910000000000"/>
    <n v="77"/>
    <n v="9.4"/>
    <n v="59.2"/>
    <n v="1397715000"/>
    <x v="224"/>
    <d v="2025-12-27T00:00:00"/>
    <d v="1946-01-01T00:00:00"/>
  </r>
  <r>
    <n v="246"/>
    <x v="0"/>
    <x v="233"/>
    <s v="United States"/>
    <s v="Springfield"/>
    <s v="Sporting goods retail"/>
    <s v="Fashion &amp; Retail"/>
    <x v="1"/>
    <x v="1"/>
    <s v="Morris"/>
    <s v="John"/>
    <n v="8300"/>
    <n v="1948"/>
    <n v="3"/>
    <n v="19"/>
    <n v="117.24"/>
    <n v="21427700000000"/>
    <n v="78.5"/>
    <n v="9.6"/>
    <n v="36.6"/>
    <n v="328239523"/>
    <x v="225"/>
    <d v="2025-12-27T00:00:00"/>
    <d v="1948-03-19T00:00:00"/>
  </r>
  <r>
    <n v="249"/>
    <x v="12"/>
    <x v="234"/>
    <s v="Russia"/>
    <s v="Moscow"/>
    <s v="Oil, banking, telecom"/>
    <s v="Energy"/>
    <x v="1"/>
    <x v="1"/>
    <s v="Khan"/>
    <s v="German"/>
    <n v="8200"/>
    <n v="1961"/>
    <n v="10"/>
    <n v="24"/>
    <n v="180.75"/>
    <n v="1699876578871"/>
    <n v="72.7"/>
    <n v="11.4"/>
    <n v="46.2"/>
    <n v="144373535"/>
    <x v="226"/>
    <d v="2025-12-27T00:00:00"/>
    <d v="1961-10-24T00:00:00"/>
  </r>
  <r>
    <n v="249"/>
    <x v="6"/>
    <x v="235"/>
    <s v="Nigeria"/>
    <s v="Lagos"/>
    <s v="Cement, sugar"/>
    <s v="Diversified"/>
    <x v="0"/>
    <x v="1"/>
    <s v="Rabiu"/>
    <s v="Abdulsamad"/>
    <n v="8200"/>
    <n v="1960"/>
    <n v="8"/>
    <n v="4"/>
    <n v="267.51"/>
    <n v="448120428859"/>
    <n v="54.3"/>
    <n v="1.5"/>
    <n v="34.799999999999997"/>
    <n v="200963599"/>
    <x v="227"/>
    <d v="2025-12-27T00:00:00"/>
    <d v="1960-08-04T00:00:00"/>
  </r>
  <r>
    <n v="249"/>
    <x v="3"/>
    <x v="236"/>
    <s v="United States"/>
    <s v="Atherton"/>
    <s v="Private equity"/>
    <s v="Finance &amp; Investments"/>
    <x v="1"/>
    <x v="1"/>
    <s v="Roberts"/>
    <s v="George"/>
    <n v="8200"/>
    <n v="1943"/>
    <n v="9"/>
    <n v="14"/>
    <n v="117.24"/>
    <n v="21427700000000"/>
    <n v="78.5"/>
    <n v="9.6"/>
    <n v="36.6"/>
    <n v="328239523"/>
    <x v="228"/>
    <d v="2025-12-27T00:00:00"/>
    <d v="1943-09-14T00:00:00"/>
  </r>
  <r>
    <n v="249"/>
    <x v="15"/>
    <x v="237"/>
    <s v="India"/>
    <s v="Delhi"/>
    <s v="Real estate"/>
    <s v="Real Estate"/>
    <x v="0"/>
    <x v="1"/>
    <s v="Singh"/>
    <s v="Kushal Pal"/>
    <n v="8200"/>
    <n v="1931"/>
    <n v="8"/>
    <n v="15"/>
    <n v="180.44"/>
    <n v="2611000000000"/>
    <n v="69.400000000000006"/>
    <n v="11.2"/>
    <n v="49.7"/>
    <n v="1366417754"/>
    <x v="229"/>
    <d v="2025-12-27T00:00:00"/>
    <d v="1931-08-15T00:00:00"/>
  </r>
  <r>
    <n v="249"/>
    <x v="15"/>
    <x v="238"/>
    <s v="China"/>
    <s v="Beijing"/>
    <s v="Real estate"/>
    <s v="Real Estate"/>
    <x v="1"/>
    <x v="1"/>
    <s v="Wang"/>
    <s v="Jianlin"/>
    <n v="8200"/>
    <n v="1954"/>
    <n v="10"/>
    <n v="1"/>
    <n v="125.08"/>
    <n v="19910000000000"/>
    <n v="77"/>
    <n v="9.4"/>
    <n v="59.2"/>
    <n v="1397715000"/>
    <x v="230"/>
    <d v="2025-12-27T00:00:00"/>
    <d v="1954-10-01T00:00:00"/>
  </r>
  <r>
    <n v="249"/>
    <x v="15"/>
    <x v="239"/>
    <s v="China"/>
    <s v="Foshan"/>
    <s v="Real estate"/>
    <s v="Real Estate"/>
    <x v="0"/>
    <x v="2"/>
    <s v="Yang"/>
    <s v="Huiyan"/>
    <n v="8200"/>
    <n v="1981"/>
    <n v="9"/>
    <n v="27"/>
    <n v="125.08"/>
    <n v="19910000000000"/>
    <n v="77"/>
    <n v="9.4"/>
    <n v="59.2"/>
    <n v="1397715000"/>
    <x v="231"/>
    <d v="2025-12-27T00:00:00"/>
    <d v="1981-09-27T00:00:00"/>
  </r>
  <r>
    <n v="256"/>
    <x v="6"/>
    <x v="240"/>
    <s v="France"/>
    <s v="Paris"/>
    <s v="Diversified"/>
    <s v="Diversified"/>
    <x v="0"/>
    <x v="1"/>
    <s v="Dassault"/>
    <s v="Laurent"/>
    <n v="8100"/>
    <n v="1953"/>
    <n v="7"/>
    <n v="7"/>
    <n v="110.05"/>
    <n v="2715518274227"/>
    <n v="82.5"/>
    <n v="24.2"/>
    <n v="60.7"/>
    <n v="67059887"/>
    <x v="232"/>
    <d v="2025-12-27T00:00:00"/>
    <d v="1953-07-07T00:00:00"/>
  </r>
  <r>
    <n v="256"/>
    <x v="6"/>
    <x v="241"/>
    <s v="France"/>
    <s v="Paris"/>
    <s v="Diversified"/>
    <s v="Diversified"/>
    <x v="0"/>
    <x v="1"/>
    <s v="Dassault"/>
    <s v="Thierry"/>
    <n v="8100"/>
    <n v="1957"/>
    <n v="3"/>
    <n v="26"/>
    <n v="110.05"/>
    <n v="2715518274227"/>
    <n v="82.5"/>
    <n v="24.2"/>
    <n v="60.7"/>
    <n v="67059887"/>
    <x v="233"/>
    <d v="2025-12-27T00:00:00"/>
    <d v="1957-03-26T00:00:00"/>
  </r>
  <r>
    <n v="256"/>
    <x v="7"/>
    <x v="242"/>
    <s v="United States"/>
    <s v="Houston"/>
    <s v="Houston Rockets, entertainment"/>
    <s v="Food &amp; Beverage"/>
    <x v="1"/>
    <x v="1"/>
    <s v="Fertitta"/>
    <s v="Tilman"/>
    <n v="8100"/>
    <n v="1957"/>
    <n v="6"/>
    <n v="25"/>
    <n v="117.24"/>
    <n v="21427700000000"/>
    <n v="78.5"/>
    <n v="9.6"/>
    <n v="36.6"/>
    <n v="328239523"/>
    <x v="234"/>
    <d v="2025-12-27T00:00:00"/>
    <d v="1957-06-25T00:00:00"/>
  </r>
  <r>
    <n v="256"/>
    <x v="6"/>
    <x v="243"/>
    <s v="France"/>
    <s v="Paris"/>
    <s v="Diversified"/>
    <s v="Diversified"/>
    <x v="0"/>
    <x v="2"/>
    <s v="Habert-Dassault"/>
    <s v="Marie-Hélène"/>
    <n v="8100"/>
    <n v="1965"/>
    <n v="4"/>
    <n v="4"/>
    <n v="110.05"/>
    <n v="2715518274227"/>
    <n v="82.5"/>
    <n v="24.2"/>
    <n v="60.7"/>
    <n v="67059887"/>
    <x v="235"/>
    <d v="2025-12-27T00:00:00"/>
    <d v="1965-04-04T00:00:00"/>
  </r>
  <r>
    <n v="256"/>
    <x v="9"/>
    <x v="244"/>
    <s v="Switzerland"/>
    <s v="Verbier"/>
    <s v="Oil and gas, IT, lotteries"/>
    <s v="Gambling &amp; Casinos"/>
    <x v="1"/>
    <x v="1"/>
    <s v="Komarek"/>
    <s v="Karel"/>
    <n v="8100"/>
    <n v="1969"/>
    <n v="3"/>
    <n v="15"/>
    <n v="99.55"/>
    <n v="703082435360"/>
    <n v="83.6"/>
    <n v="10.1"/>
    <n v="28.8"/>
    <n v="8574832"/>
    <x v="236"/>
    <d v="2025-12-27T00:00:00"/>
    <d v="1969-03-15T00:00:00"/>
  </r>
  <r>
    <n v="261"/>
    <x v="2"/>
    <x v="245"/>
    <s v="United States"/>
    <s v="San Francisco"/>
    <s v="Airbnb"/>
    <s v="Technology"/>
    <x v="1"/>
    <x v="1"/>
    <s v="Blecharczyk"/>
    <s v="Nathan"/>
    <n v="8000"/>
    <n v="1983"/>
    <n v="6"/>
    <n v="11"/>
    <n v="117.24"/>
    <n v="21427700000000"/>
    <n v="78.5"/>
    <n v="9.6"/>
    <n v="36.6"/>
    <n v="328239523"/>
    <x v="237"/>
    <d v="2025-12-27T00:00:00"/>
    <d v="1983-06-11T00:00:00"/>
  </r>
  <r>
    <n v="261"/>
    <x v="12"/>
    <x v="246"/>
    <s v="Russia"/>
    <s v="Moscow"/>
    <s v="Oil"/>
    <s v="Energy"/>
    <x v="1"/>
    <x v="1"/>
    <s v="Fedun"/>
    <s v="Leonid"/>
    <n v="8000"/>
    <n v="1956"/>
    <n v="4"/>
    <n v="5"/>
    <n v="180.75"/>
    <n v="1699876578871"/>
    <n v="72.7"/>
    <n v="11.4"/>
    <n v="46.2"/>
    <n v="144373535"/>
    <x v="238"/>
    <d v="2025-12-27T00:00:00"/>
    <d v="1956-04-05T00:00:00"/>
  </r>
  <r>
    <n v="261"/>
    <x v="0"/>
    <x v="247"/>
    <s v="United States"/>
    <s v="Atlanta"/>
    <s v="Home Depot"/>
    <s v="Fashion &amp; Retail"/>
    <x v="1"/>
    <x v="1"/>
    <s v="Marcus"/>
    <s v="Bernard"/>
    <n v="8000"/>
    <n v="1929"/>
    <n v="5"/>
    <n v="12"/>
    <n v="117.24"/>
    <n v="21427700000000"/>
    <n v="78.5"/>
    <n v="9.6"/>
    <n v="36.6"/>
    <n v="328239523"/>
    <x v="239"/>
    <d v="2025-12-27T00:00:00"/>
    <d v="1929-05-12T00:00:00"/>
  </r>
  <r>
    <n v="261"/>
    <x v="3"/>
    <x v="248"/>
    <s v="United States"/>
    <s v="Winnetka"/>
    <s v="Insurance"/>
    <s v="Finance &amp; Investments"/>
    <x v="1"/>
    <x v="1"/>
    <s v="Ryan"/>
    <s v="Patrick"/>
    <n v="8000"/>
    <n v="1937"/>
    <n v="5"/>
    <n v="15"/>
    <n v="117.24"/>
    <n v="21427700000000"/>
    <n v="78.5"/>
    <n v="9.6"/>
    <n v="36.6"/>
    <n v="328239523"/>
    <x v="240"/>
    <d v="2025-12-27T00:00:00"/>
    <d v="1937-05-15T00:00:00"/>
  </r>
  <r>
    <n v="261"/>
    <x v="3"/>
    <x v="249"/>
    <s v="United States"/>
    <s v="Austin"/>
    <s v="Private equity"/>
    <s v="Finance &amp; Investments"/>
    <x v="1"/>
    <x v="1"/>
    <s v="Smith"/>
    <s v="Robert F."/>
    <n v="8000"/>
    <n v="1962"/>
    <n v="12"/>
    <n v="1"/>
    <n v="117.24"/>
    <n v="21427700000000"/>
    <n v="78.5"/>
    <n v="9.6"/>
    <n v="36.6"/>
    <n v="328239523"/>
    <x v="241"/>
    <d v="2025-12-27T00:00:00"/>
    <d v="1962-12-01T00:00:00"/>
  </r>
  <r>
    <n v="261"/>
    <x v="11"/>
    <x v="250"/>
    <s v="Czech Republic"/>
    <s v="Prague"/>
    <s v="Coal mines"/>
    <s v="Metals &amp; Mining"/>
    <x v="1"/>
    <x v="1"/>
    <s v="Tykac"/>
    <s v="Pavel"/>
    <n v="8000"/>
    <n v="1964"/>
    <n v="5"/>
    <n v="15"/>
    <n v="116.48"/>
    <n v="246489245495"/>
    <n v="79"/>
    <n v="14.9"/>
    <n v="46.1"/>
    <n v="10669709"/>
    <x v="242"/>
    <d v="2025-12-27T00:00:00"/>
    <d v="1964-05-15T00:00:00"/>
  </r>
  <r>
    <n v="268"/>
    <x v="3"/>
    <x v="251"/>
    <s v="United States"/>
    <s v="Miami Beach"/>
    <s v="Private equity"/>
    <s v="Finance &amp; Investments"/>
    <x v="1"/>
    <x v="1"/>
    <s v="Bravo"/>
    <s v="Orlando"/>
    <n v="7900"/>
    <n v="1970"/>
    <n v="9"/>
    <n v="23"/>
    <n v="117.24"/>
    <n v="21427700000000"/>
    <n v="78.5"/>
    <n v="9.6"/>
    <n v="36.6"/>
    <n v="328239523"/>
    <x v="243"/>
    <d v="2025-12-27T00:00:00"/>
    <d v="1970-09-23T00:00:00"/>
  </r>
  <r>
    <n v="268"/>
    <x v="0"/>
    <x v="252"/>
    <s v="China"/>
    <s v="Quanzhou"/>
    <s v="Sports apparel"/>
    <s v="Fashion &amp; Retail"/>
    <x v="1"/>
    <x v="1"/>
    <s v="Ding"/>
    <s v="Shizhong"/>
    <n v="7900"/>
    <n v="1970"/>
    <n v="12"/>
    <n v="1"/>
    <n v="125.08"/>
    <n v="19910000000000"/>
    <n v="77"/>
    <n v="9.4"/>
    <n v="59.2"/>
    <n v="1397715000"/>
    <x v="244"/>
    <d v="2025-12-27T00:00:00"/>
    <d v="1970-12-01T00:00:00"/>
  </r>
  <r>
    <n v="268"/>
    <x v="0"/>
    <x v="253"/>
    <s v="United States"/>
    <s v="Henderson"/>
    <s v="Walmart"/>
    <s v="Fashion &amp; Retail"/>
    <x v="0"/>
    <x v="2"/>
    <s v="Laurie"/>
    <s v="Nancy Walton"/>
    <n v="7900"/>
    <n v="1951"/>
    <n v="5"/>
    <n v="15"/>
    <n v="117.24"/>
    <n v="21427700000000"/>
    <n v="78.5"/>
    <n v="9.6"/>
    <n v="36.6"/>
    <n v="328239523"/>
    <x v="245"/>
    <d v="2025-12-27T00:00:00"/>
    <d v="1951-05-15T00:00:00"/>
  </r>
  <r>
    <n v="268"/>
    <x v="2"/>
    <x v="254"/>
    <s v="South Korea"/>
    <s v="Seoul"/>
    <s v="Samsung"/>
    <s v="Technology"/>
    <x v="0"/>
    <x v="1"/>
    <s v="Lee"/>
    <s v="Jay Y."/>
    <n v="7900"/>
    <n v="1968"/>
    <n v="6"/>
    <n v="23"/>
    <n v="115.16"/>
    <n v="2029000000000"/>
    <n v="82.6"/>
    <n v="15.6"/>
    <n v="33.200000000000003"/>
    <n v="51709098"/>
    <x v="246"/>
    <d v="2025-12-27T00:00:00"/>
    <d v="1968-06-23T00:00:00"/>
  </r>
  <r>
    <n v="268"/>
    <x v="3"/>
    <x v="255"/>
    <s v="United States"/>
    <s v="New York"/>
    <s v="Private equity"/>
    <s v="Finance &amp; Investments"/>
    <x v="1"/>
    <x v="1"/>
    <s v="Musallam"/>
    <s v="Ramzi"/>
    <n v="7900"/>
    <n v="1968"/>
    <n v="9"/>
    <n v="17"/>
    <n v="117.24"/>
    <n v="21427700000000"/>
    <n v="78.5"/>
    <n v="9.6"/>
    <n v="36.6"/>
    <n v="328239523"/>
    <x v="247"/>
    <d v="2025-12-27T00:00:00"/>
    <d v="1968-09-17T00:00:00"/>
  </r>
  <r>
    <n v="268"/>
    <x v="3"/>
    <x v="256"/>
    <s v="United States"/>
    <s v="New York"/>
    <s v="Hedge funds"/>
    <s v="Finance &amp; Investments"/>
    <x v="1"/>
    <x v="1"/>
    <s v="Shaw"/>
    <s v="David"/>
    <n v="7900"/>
    <n v="1951"/>
    <n v="3"/>
    <n v="29"/>
    <n v="117.24"/>
    <n v="21427700000000"/>
    <n v="78.5"/>
    <n v="9.6"/>
    <n v="36.6"/>
    <n v="328239523"/>
    <x v="197"/>
    <d v="2025-12-27T00:00:00"/>
    <d v="1951-03-29T00:00:00"/>
  </r>
  <r>
    <n v="268"/>
    <x v="11"/>
    <x v="257"/>
    <s v="Russia"/>
    <s v="Moscow"/>
    <s v="Metals and mining"/>
    <s v="Metals &amp; Mining"/>
    <x v="1"/>
    <x v="1"/>
    <s v="Skoch &amp; family"/>
    <s v="Andrei"/>
    <n v="7900"/>
    <n v="1966"/>
    <n v="1"/>
    <n v="30"/>
    <n v="180.75"/>
    <n v="1699876578871"/>
    <n v="72.7"/>
    <n v="11.4"/>
    <n v="46.2"/>
    <n v="144373535"/>
    <x v="248"/>
    <d v="2025-12-27T00:00:00"/>
    <d v="1966-01-30T00:00:00"/>
  </r>
  <r>
    <n v="268"/>
    <x v="6"/>
    <x v="258"/>
    <s v="Austria"/>
    <s v="Vienna"/>
    <s v="Real estate, construction"/>
    <s v="Diversified"/>
    <x v="1"/>
    <x v="1"/>
    <s v="Stumpf"/>
    <s v="Georg"/>
    <n v="7900"/>
    <n v="1972"/>
    <n v="9"/>
    <n v="14"/>
    <n v="118.06"/>
    <n v="446314739528"/>
    <n v="81.599999999999994"/>
    <n v="25.4"/>
    <n v="51.4"/>
    <n v="8877067"/>
    <x v="249"/>
    <d v="2025-12-27T00:00:00"/>
    <d v="1972-09-14T00:00:00"/>
  </r>
  <r>
    <n v="276"/>
    <x v="5"/>
    <x v="259"/>
    <s v="United States"/>
    <s v="Saddle River"/>
    <s v="Telecom"/>
    <s v="Telecom"/>
    <x v="1"/>
    <x v="1"/>
    <s v="Commisso"/>
    <s v="Rocco"/>
    <n v="7800"/>
    <n v="1949"/>
    <n v="11"/>
    <n v="25"/>
    <n v="117.24"/>
    <n v="21427700000000"/>
    <n v="78.5"/>
    <n v="9.6"/>
    <n v="36.6"/>
    <n v="328239523"/>
    <x v="250"/>
    <d v="2025-12-27T00:00:00"/>
    <d v="1949-11-25T00:00:00"/>
  </r>
  <r>
    <n v="276"/>
    <x v="10"/>
    <x v="260"/>
    <s v="China"/>
    <s v="Hangzhou"/>
    <s v="Petrochemicals"/>
    <s v="Manufacturing"/>
    <x v="1"/>
    <x v="1"/>
    <s v="Li"/>
    <s v="Shuirong"/>
    <n v="7800"/>
    <n v="1956"/>
    <n v="7"/>
    <n v="1"/>
    <n v="125.08"/>
    <n v="19910000000000"/>
    <n v="77"/>
    <n v="9.4"/>
    <n v="59.2"/>
    <n v="1397715000"/>
    <x v="251"/>
    <d v="2025-12-27T00:00:00"/>
    <d v="1956-07-01T00:00:00"/>
  </r>
  <r>
    <n v="276"/>
    <x v="2"/>
    <x v="261"/>
    <s v="China"/>
    <s v="Shanghai"/>
    <s v="Financial information"/>
    <s v="Technology"/>
    <x v="1"/>
    <x v="1"/>
    <s v="Qi"/>
    <s v="Shi"/>
    <n v="7800"/>
    <n v="1970"/>
    <n v="1"/>
    <n v="3"/>
    <n v="125.08"/>
    <n v="19910000000000"/>
    <n v="77"/>
    <n v="9.4"/>
    <n v="59.2"/>
    <n v="1397715000"/>
    <x v="252"/>
    <d v="2025-12-27T00:00:00"/>
    <d v="1970-01-03T00:00:00"/>
  </r>
  <r>
    <n v="276"/>
    <x v="10"/>
    <x v="262"/>
    <s v="China"/>
    <s v="Guangzhou"/>
    <s v="Furniture"/>
    <s v="Manufacturing"/>
    <x v="1"/>
    <x v="1"/>
    <s v="Yao"/>
    <s v="Liangsong"/>
    <n v="7800"/>
    <n v="1964"/>
    <n v="8"/>
    <n v="1"/>
    <n v="125.08"/>
    <n v="19910000000000"/>
    <n v="77"/>
    <n v="9.4"/>
    <n v="59.2"/>
    <n v="1397715000"/>
    <x v="253"/>
    <d v="2025-12-27T00:00:00"/>
    <d v="1964-08-01T00:00:00"/>
  </r>
  <r>
    <n v="282"/>
    <x v="7"/>
    <x v="263"/>
    <s v="France"/>
    <s v="Laval"/>
    <s v="Cheese"/>
    <s v="Food &amp; Beverage"/>
    <x v="0"/>
    <x v="1"/>
    <s v="Besnier"/>
    <s v="Jean-Michel"/>
    <n v="7700"/>
    <n v="1967"/>
    <n v="6"/>
    <n v="5"/>
    <n v="110.05"/>
    <n v="2715518274227"/>
    <n v="82.5"/>
    <n v="24.2"/>
    <n v="60.7"/>
    <n v="67059887"/>
    <x v="254"/>
    <d v="2025-12-27T00:00:00"/>
    <d v="1967-06-05T00:00:00"/>
  </r>
  <r>
    <n v="282"/>
    <x v="7"/>
    <x v="264"/>
    <s v="France"/>
    <s v="Laval"/>
    <s v="Cheese"/>
    <s v="Food &amp; Beverage"/>
    <x v="0"/>
    <x v="2"/>
    <s v="Besnier Beauvalot"/>
    <s v="Marie"/>
    <n v="7700"/>
    <n v="1980"/>
    <n v="7"/>
    <n v="30"/>
    <n v="110.05"/>
    <n v="2715518274227"/>
    <n v="82.5"/>
    <n v="24.2"/>
    <n v="60.7"/>
    <n v="67059887"/>
    <x v="255"/>
    <d v="2025-12-27T00:00:00"/>
    <d v="1980-07-30T00:00:00"/>
  </r>
  <r>
    <n v="282"/>
    <x v="4"/>
    <x v="265"/>
    <s v="United States"/>
    <s v="Beverly Hills"/>
    <s v="Movies, record labels"/>
    <s v="Media &amp; Entertainment"/>
    <x v="1"/>
    <x v="1"/>
    <s v="Geffen"/>
    <s v="David"/>
    <n v="7700"/>
    <n v="1943"/>
    <n v="2"/>
    <n v="21"/>
    <n v="117.24"/>
    <n v="21427700000000"/>
    <n v="78.5"/>
    <n v="9.6"/>
    <n v="36.6"/>
    <n v="328239523"/>
    <x v="256"/>
    <d v="2025-12-27T00:00:00"/>
    <d v="1943-02-21T00:00:00"/>
  </r>
  <r>
    <n v="282"/>
    <x v="2"/>
    <x v="266"/>
    <s v="China"/>
    <s v="Beijing"/>
    <s v="Internet search"/>
    <s v="Technology"/>
    <x v="1"/>
    <x v="1"/>
    <s v="Li"/>
    <s v="Robin"/>
    <n v="7700"/>
    <n v="1968"/>
    <n v="11"/>
    <n v="17"/>
    <n v="125.08"/>
    <n v="19910000000000"/>
    <n v="77"/>
    <n v="9.4"/>
    <n v="59.2"/>
    <n v="1397715000"/>
    <x v="257"/>
    <d v="2025-12-27T00:00:00"/>
    <d v="1968-11-17T00:00:00"/>
  </r>
  <r>
    <n v="282"/>
    <x v="14"/>
    <x v="267"/>
    <s v="China"/>
    <s v="Chengdu"/>
    <s v="Agribusiness"/>
    <s v="Service"/>
    <x v="1"/>
    <x v="1"/>
    <s v="Liu"/>
    <s v="Yonghao"/>
    <n v="7700"/>
    <n v="1951"/>
    <n v="9"/>
    <n v="1"/>
    <n v="125.08"/>
    <n v="19910000000000"/>
    <n v="77"/>
    <n v="9.4"/>
    <n v="59.2"/>
    <n v="1397715000"/>
    <x v="258"/>
    <d v="2025-12-27T00:00:00"/>
    <d v="1951-09-01T00:00:00"/>
  </r>
  <r>
    <n v="282"/>
    <x v="2"/>
    <x v="268"/>
    <s v="United States"/>
    <s v="Newport Beach"/>
    <s v="Semiconductors"/>
    <s v="Technology"/>
    <x v="1"/>
    <x v="1"/>
    <s v="Samueli"/>
    <s v="Henry"/>
    <n v="7700"/>
    <n v="1954"/>
    <n v="9"/>
    <n v="20"/>
    <n v="117.24"/>
    <n v="21427700000000"/>
    <n v="78.5"/>
    <n v="9.6"/>
    <n v="36.6"/>
    <n v="328239523"/>
    <x v="259"/>
    <d v="2025-12-27T00:00:00"/>
    <d v="1954-09-20T00:00:00"/>
  </r>
  <r>
    <n v="282"/>
    <x v="13"/>
    <x v="269"/>
    <s v="United States"/>
    <s v="Naples"/>
    <s v="Medical devices"/>
    <s v="Healthcare"/>
    <x v="1"/>
    <x v="1"/>
    <s v="Schmieding"/>
    <s v="Reinhold"/>
    <n v="7700"/>
    <n v="1955"/>
    <n v="1"/>
    <n v="3"/>
    <n v="117.24"/>
    <n v="21427700000000"/>
    <n v="78.5"/>
    <n v="9.6"/>
    <n v="36.6"/>
    <n v="328239523"/>
    <x v="260"/>
    <d v="2025-12-27T00:00:00"/>
    <d v="1955-01-03T00:00:00"/>
  </r>
  <r>
    <n v="282"/>
    <x v="15"/>
    <x v="270"/>
    <s v="Norway"/>
    <s v="Oslo"/>
    <s v="Real estate"/>
    <s v="Real Estate"/>
    <x v="1"/>
    <x v="1"/>
    <s v="Tollefsen"/>
    <s v="Ivar"/>
    <n v="7700"/>
    <n v="1961"/>
    <n v="6"/>
    <n v="23"/>
    <n v="120.27"/>
    <n v="403336363636"/>
    <n v="82.8"/>
    <n v="23.9"/>
    <n v="36.200000000000003"/>
    <n v="5347896"/>
    <x v="261"/>
    <d v="2025-12-27T00:00:00"/>
    <d v="1961-06-23T00:00:00"/>
  </r>
  <r>
    <n v="290"/>
    <x v="12"/>
    <x v="271"/>
    <s v="China"/>
    <s v="Hefei"/>
    <s v="Photovoltaic equipment"/>
    <s v="Energy"/>
    <x v="1"/>
    <x v="1"/>
    <s v="Cao"/>
    <s v="Renxian"/>
    <n v="7600"/>
    <n v="1968"/>
    <n v="7"/>
    <n v="24"/>
    <n v="125.08"/>
    <n v="19910000000000"/>
    <n v="77"/>
    <n v="9.4"/>
    <n v="59.2"/>
    <n v="1397715000"/>
    <x v="262"/>
    <d v="2025-12-27T00:00:00"/>
    <d v="1968-07-24T00:00:00"/>
  </r>
  <r>
    <n v="290"/>
    <x v="13"/>
    <x v="272"/>
    <s v="India"/>
    <s v="Ahmedabad"/>
    <s v="Pharmaceuticals"/>
    <s v="Healthcare"/>
    <x v="1"/>
    <x v="1"/>
    <s v="Chudgar"/>
    <s v="Hasmukh"/>
    <n v="7600"/>
    <n v="1933"/>
    <n v="9"/>
    <n v="19"/>
    <n v="180.44"/>
    <n v="2611000000000"/>
    <n v="69.400000000000006"/>
    <n v="11.2"/>
    <n v="49.7"/>
    <n v="1366417754"/>
    <x v="263"/>
    <d v="2025-12-27T00:00:00"/>
    <d v="1933-09-19T00:00:00"/>
  </r>
  <r>
    <n v="290"/>
    <x v="10"/>
    <x v="273"/>
    <s v="United Kingdom"/>
    <s v="London"/>
    <s v="Chemicals"/>
    <s v="Manufacturing"/>
    <x v="1"/>
    <x v="1"/>
    <s v="Currie"/>
    <s v="Andrew"/>
    <n v="7600"/>
    <n v="1955"/>
    <n v="12"/>
    <n v="4"/>
    <n v="119.62"/>
    <n v="2827113184696"/>
    <n v="81.3"/>
    <n v="25.5"/>
    <n v="30.6"/>
    <n v="66834405"/>
    <x v="264"/>
    <d v="2025-12-27T00:00:00"/>
    <d v="1955-12-04T00:00:00"/>
  </r>
  <r>
    <n v="290"/>
    <x v="2"/>
    <x v="274"/>
    <s v="United States"/>
    <s v="Austin"/>
    <s v="Airbnb"/>
    <s v="Technology"/>
    <x v="1"/>
    <x v="1"/>
    <s v="Gebbia"/>
    <s v="Joe"/>
    <n v="7600"/>
    <n v="1981"/>
    <n v="8"/>
    <n v="21"/>
    <n v="117.24"/>
    <n v="21427700000000"/>
    <n v="78.5"/>
    <n v="9.6"/>
    <n v="36.6"/>
    <n v="328239523"/>
    <x v="265"/>
    <d v="2025-12-27T00:00:00"/>
    <d v="1981-08-21T00:00:00"/>
  </r>
  <r>
    <n v="290"/>
    <x v="15"/>
    <x v="275"/>
    <s v="Singapore"/>
    <s v="Singapore"/>
    <s v="Real Estate"/>
    <s v="Real Estate"/>
    <x v="0"/>
    <x v="1"/>
    <s v="Ng"/>
    <s v="Philip"/>
    <n v="7600"/>
    <n v="1959"/>
    <n v="1"/>
    <n v="1"/>
    <n v="114.41"/>
    <n v="372062527489"/>
    <n v="83.1"/>
    <n v="13.1"/>
    <n v="21"/>
    <n v="5703569"/>
    <x v="208"/>
    <d v="2025-12-27T00:00:00"/>
    <d v="1959-01-01T00:00:00"/>
  </r>
  <r>
    <n v="290"/>
    <x v="10"/>
    <x v="276"/>
    <s v="United Kingdom"/>
    <s v="London"/>
    <s v="Chemicals"/>
    <s v="Manufacturing"/>
    <x v="1"/>
    <x v="1"/>
    <s v="Reece"/>
    <s v="John"/>
    <n v="7600"/>
    <n v="1957"/>
    <n v="3"/>
    <n v="7"/>
    <n v="119.62"/>
    <n v="2827113184696"/>
    <n v="81.3"/>
    <n v="25.5"/>
    <n v="30.6"/>
    <n v="66834405"/>
    <x v="266"/>
    <d v="2025-12-27T00:00:00"/>
    <d v="1957-03-07T00:00:00"/>
  </r>
  <r>
    <n v="290"/>
    <x v="15"/>
    <x v="277"/>
    <s v="United States"/>
    <s v="New York"/>
    <s v="Real estate"/>
    <s v="Real Estate"/>
    <x v="0"/>
    <x v="1"/>
    <s v="Stern"/>
    <s v="Leonard"/>
    <n v="7600"/>
    <n v="1938"/>
    <n v="3"/>
    <n v="28"/>
    <n v="117.24"/>
    <n v="21427700000000"/>
    <n v="78.5"/>
    <n v="9.6"/>
    <n v="36.6"/>
    <n v="328239523"/>
    <x v="267"/>
    <d v="2025-12-27T00:00:00"/>
    <d v="1938-03-28T00:00:00"/>
  </r>
  <r>
    <n v="290"/>
    <x v="13"/>
    <x v="278"/>
    <s v="China"/>
    <s v="Shanghai"/>
    <s v="Pharmaceuticals"/>
    <s v="Healthcare"/>
    <x v="1"/>
    <x v="2"/>
    <s v="Zhong"/>
    <s v="Huijuan"/>
    <n v="7600"/>
    <n v="1961"/>
    <n v="1"/>
    <n v="1"/>
    <n v="125.08"/>
    <n v="19910000000000"/>
    <n v="77"/>
    <n v="9.4"/>
    <n v="59.2"/>
    <n v="1397715000"/>
    <x v="268"/>
    <d v="2025-12-27T00:00:00"/>
    <d v="1961-01-01T00:00:00"/>
  </r>
  <r>
    <n v="299"/>
    <x v="17"/>
    <x v="279"/>
    <s v="United States"/>
    <s v="Atlanta"/>
    <s v="Home Depot"/>
    <s v="Sports"/>
    <x v="1"/>
    <x v="1"/>
    <s v="Blank"/>
    <s v="Arthur"/>
    <n v="7500"/>
    <n v="1942"/>
    <n v="9"/>
    <n v="27"/>
    <n v="117.24"/>
    <n v="21427700000000"/>
    <n v="78.5"/>
    <n v="9.6"/>
    <n v="36.6"/>
    <n v="328239523"/>
    <x v="269"/>
    <d v="2025-12-27T00:00:00"/>
    <d v="1942-09-27T00:00:00"/>
  </r>
  <r>
    <n v="299"/>
    <x v="0"/>
    <x v="280"/>
    <s v="United States"/>
    <s v="San Antonio"/>
    <s v="Supermarkets"/>
    <s v="Fashion &amp; Retail"/>
    <x v="0"/>
    <x v="1"/>
    <s v="Butt"/>
    <s v="Charles"/>
    <n v="7500"/>
    <n v="1938"/>
    <n v="2"/>
    <n v="3"/>
    <n v="117.24"/>
    <n v="21427700000000"/>
    <n v="78.5"/>
    <n v="9.6"/>
    <n v="36.6"/>
    <n v="328239523"/>
    <x v="270"/>
    <d v="2025-12-27T00:00:00"/>
    <d v="1938-02-03T00:00:00"/>
  </r>
  <r>
    <n v="299"/>
    <x v="0"/>
    <x v="281"/>
    <s v="China"/>
    <s v="Quanzhou"/>
    <s v="Sports apparel"/>
    <s v="Fashion &amp; Retail"/>
    <x v="1"/>
    <x v="1"/>
    <s v="Ding"/>
    <s v="Shijia"/>
    <n v="7500"/>
    <n v="1964"/>
    <n v="1"/>
    <n v="1"/>
    <n v="125.08"/>
    <n v="19910000000000"/>
    <n v="77"/>
    <n v="9.4"/>
    <n v="59.2"/>
    <n v="1397715000"/>
    <x v="136"/>
    <d v="2025-12-27T00:00:00"/>
    <d v="1964-01-01T00:00:00"/>
  </r>
  <r>
    <n v="299"/>
    <x v="3"/>
    <x v="282"/>
    <s v="United States"/>
    <s v="Palm Beach"/>
    <s v="Hedge funds"/>
    <s v="Finance &amp; Investments"/>
    <x v="1"/>
    <x v="1"/>
    <s v="Jones"/>
    <s v="Paul Tudor"/>
    <n v="7500"/>
    <n v="1954"/>
    <n v="9"/>
    <n v="28"/>
    <n v="117.24"/>
    <n v="21427700000000"/>
    <n v="78.5"/>
    <n v="9.6"/>
    <n v="36.6"/>
    <n v="328239523"/>
    <x v="271"/>
    <d v="2025-12-27T00:00:00"/>
    <d v="1954-09-28T00:00:00"/>
  </r>
  <r>
    <n v="299"/>
    <x v="3"/>
    <x v="283"/>
    <s v="United States"/>
    <s v="New York"/>
    <s v="Private equity"/>
    <s v="Finance &amp; Investments"/>
    <x v="1"/>
    <x v="1"/>
    <s v="Kravis"/>
    <s v="Henry"/>
    <n v="7500"/>
    <n v="1944"/>
    <n v="1"/>
    <n v="6"/>
    <n v="117.24"/>
    <n v="21427700000000"/>
    <n v="78.5"/>
    <n v="9.6"/>
    <n v="36.6"/>
    <n v="328239523"/>
    <x v="272"/>
    <d v="2025-12-27T00:00:00"/>
    <d v="1944-01-06T00:00:00"/>
  </r>
  <r>
    <n v="299"/>
    <x v="7"/>
    <x v="284"/>
    <s v="Singapore"/>
    <s v="Singapore"/>
    <s v="Restaurants"/>
    <s v="Food &amp; Beverage"/>
    <x v="1"/>
    <x v="1"/>
    <s v="Zhang"/>
    <s v="Yong"/>
    <n v="7500"/>
    <n v="1970"/>
    <n v="7"/>
    <n v="1"/>
    <n v="114.41"/>
    <n v="372062527489"/>
    <n v="83.1"/>
    <n v="13.1"/>
    <n v="21"/>
    <n v="5703569"/>
    <x v="273"/>
    <d v="2025-12-27T00:00:00"/>
    <d v="1970-07-01T00:00:00"/>
  </r>
  <r>
    <n v="305"/>
    <x v="2"/>
    <x v="285"/>
    <s v="United States"/>
    <s v="Cary"/>
    <s v="Software"/>
    <s v="Technology"/>
    <x v="1"/>
    <x v="1"/>
    <s v="Goodnight"/>
    <s v="James"/>
    <n v="7400"/>
    <n v="1943"/>
    <n v="1"/>
    <n v="6"/>
    <n v="117.24"/>
    <n v="21427700000000"/>
    <n v="78.5"/>
    <n v="9.6"/>
    <n v="36.6"/>
    <n v="328239523"/>
    <x v="274"/>
    <d v="2025-12-27T00:00:00"/>
    <d v="1943-01-06T00:00:00"/>
  </r>
  <r>
    <n v="305"/>
    <x v="10"/>
    <x v="286"/>
    <s v="United Kingdom"/>
    <s v="London"/>
    <s v="Petrochemicals"/>
    <s v="Manufacturing"/>
    <x v="0"/>
    <x v="1"/>
    <s v="Lohia"/>
    <s v="Sri Prakash"/>
    <n v="7400"/>
    <n v="1952"/>
    <n v="8"/>
    <n v="11"/>
    <n v="119.62"/>
    <n v="2827113184696"/>
    <n v="81.3"/>
    <n v="25.5"/>
    <n v="30.6"/>
    <n v="66834405"/>
    <x v="275"/>
    <d v="2025-12-27T00:00:00"/>
    <d v="1952-08-11T00:00:00"/>
  </r>
  <r>
    <n v="305"/>
    <x v="0"/>
    <x v="287"/>
    <s v="China"/>
    <s v="Ningbo"/>
    <s v="Textiles, apparel"/>
    <s v="Fashion &amp; Retail"/>
    <x v="1"/>
    <x v="1"/>
    <s v="Ma"/>
    <s v="Jianrong"/>
    <n v="7400"/>
    <n v="1964"/>
    <n v="1"/>
    <n v="1"/>
    <n v="125.08"/>
    <n v="19910000000000"/>
    <n v="77"/>
    <n v="9.4"/>
    <n v="59.2"/>
    <n v="1397715000"/>
    <x v="136"/>
    <d v="2025-12-27T00:00:00"/>
    <d v="1964-01-01T00:00:00"/>
  </r>
  <r>
    <n v="305"/>
    <x v="15"/>
    <x v="288"/>
    <s v="Singapore"/>
    <s v="Singapore"/>
    <s v="Real estate"/>
    <s v="Real Estate"/>
    <x v="0"/>
    <x v="1"/>
    <s v="Ng"/>
    <s v="Robert"/>
    <n v="7400"/>
    <n v="1952"/>
    <n v="1"/>
    <n v="1"/>
    <n v="114.41"/>
    <n v="372062527489"/>
    <n v="83.1"/>
    <n v="13.1"/>
    <n v="21"/>
    <n v="5703569"/>
    <x v="276"/>
    <d v="2025-12-27T00:00:00"/>
    <d v="1952-01-01T00:00:00"/>
  </r>
  <r>
    <n v="305"/>
    <x v="10"/>
    <x v="289"/>
    <s v="United States"/>
    <s v="Santa Barbara"/>
    <s v="Manufacturing, investments"/>
    <s v="Manufacturing"/>
    <x v="1"/>
    <x v="1"/>
    <s v="Rales"/>
    <s v="Steven"/>
    <n v="7400"/>
    <n v="1951"/>
    <n v="3"/>
    <n v="31"/>
    <n v="117.24"/>
    <n v="21427700000000"/>
    <n v="78.5"/>
    <n v="9.6"/>
    <n v="36.6"/>
    <n v="328239523"/>
    <x v="277"/>
    <d v="2025-12-27T00:00:00"/>
    <d v="1951-03-31T00:00:00"/>
  </r>
  <r>
    <n v="305"/>
    <x v="16"/>
    <x v="290"/>
    <s v="Egypt"/>
    <s v="Cairo"/>
    <s v="Construction, investments"/>
    <s v="Construction &amp; Engineering"/>
    <x v="0"/>
    <x v="1"/>
    <s v="Sawiris"/>
    <s v="Nassef"/>
    <n v="7400"/>
    <n v="1961"/>
    <n v="1"/>
    <n v="19"/>
    <n v="288.57"/>
    <n v="303175127598"/>
    <n v="71.8"/>
    <n v="12.5"/>
    <n v="44.4"/>
    <n v="100388073"/>
    <x v="278"/>
    <d v="2025-12-27T00:00:00"/>
    <d v="1961-01-19T00:00:00"/>
  </r>
  <r>
    <n v="305"/>
    <x v="7"/>
    <x v="291"/>
    <s v="United States"/>
    <s v="Adel"/>
    <s v="Agriculture"/>
    <s v="Food &amp; Beverage"/>
    <x v="1"/>
    <x v="1"/>
    <s v="Stine"/>
    <s v="Harry"/>
    <n v="7400"/>
    <n v="1941"/>
    <n v="11"/>
    <n v="30"/>
    <n v="117.24"/>
    <n v="21427700000000"/>
    <n v="78.5"/>
    <n v="9.6"/>
    <n v="36.6"/>
    <n v="328239523"/>
    <x v="279"/>
    <d v="2025-12-27T00:00:00"/>
    <d v="1941-11-30T00:00:00"/>
  </r>
  <r>
    <n v="312"/>
    <x v="10"/>
    <x v="292"/>
    <s v="India"/>
    <s v="Kolkata"/>
    <s v="Cement"/>
    <s v="Manufacturing"/>
    <x v="0"/>
    <x v="1"/>
    <s v="Bangur"/>
    <s v="Benu Gopal"/>
    <n v="7300"/>
    <n v="1931"/>
    <n v="6"/>
    <n v="1"/>
    <n v="180.44"/>
    <n v="2611000000000"/>
    <n v="69.400000000000006"/>
    <n v="11.2"/>
    <n v="49.7"/>
    <n v="1366417754"/>
    <x v="280"/>
    <d v="2025-12-27T00:00:00"/>
    <d v="1931-06-01T00:00:00"/>
  </r>
  <r>
    <n v="312"/>
    <x v="11"/>
    <x v="293"/>
    <s v="Russia"/>
    <s v="Moscow"/>
    <s v="Mining, metals, machinery"/>
    <s v="Metals &amp; Mining"/>
    <x v="1"/>
    <x v="1"/>
    <s v="Makhmudov"/>
    <s v="Iskander"/>
    <n v="7300"/>
    <n v="1963"/>
    <n v="12"/>
    <n v="5"/>
    <n v="180.75"/>
    <n v="1699876578871"/>
    <n v="72.7"/>
    <n v="11.4"/>
    <n v="46.2"/>
    <n v="144373535"/>
    <x v="281"/>
    <d v="2025-12-27T00:00:00"/>
    <d v="1963-12-05T00:00:00"/>
  </r>
  <r>
    <n v="312"/>
    <x v="0"/>
    <x v="294"/>
    <s v="Denmark"/>
    <s v="Aarhus"/>
    <s v="Fashion retail"/>
    <s v="Fashion &amp; Retail"/>
    <x v="0"/>
    <x v="1"/>
    <s v="Povlsen"/>
    <s v="Anders Holch"/>
    <n v="7300"/>
    <n v="1972"/>
    <n v="11"/>
    <n v="4"/>
    <n v="110.35"/>
    <n v="348078018464"/>
    <n v="81"/>
    <n v="32.4"/>
    <n v="23.8"/>
    <n v="5818553"/>
    <x v="282"/>
    <d v="2025-12-27T00:00:00"/>
    <d v="1972-11-04T00:00:00"/>
  </r>
  <r>
    <n v="312"/>
    <x v="8"/>
    <x v="295"/>
    <s v="Philippines"/>
    <s v="Manila"/>
    <s v="Ports"/>
    <s v="Logistics"/>
    <x v="0"/>
    <x v="1"/>
    <s v="Razon Jr."/>
    <s v="Enrique"/>
    <n v="7300"/>
    <n v="1960"/>
    <n v="3"/>
    <n v="3"/>
    <n v="129.61000000000001"/>
    <n v="376795508680"/>
    <n v="71.099999999999994"/>
    <n v="14"/>
    <n v="43.1"/>
    <n v="108116615"/>
    <x v="283"/>
    <d v="2025-12-27T00:00:00"/>
    <d v="1960-03-03T00:00:00"/>
  </r>
  <r>
    <n v="312"/>
    <x v="2"/>
    <x v="296"/>
    <s v="China"/>
    <s v="Shenzhen"/>
    <s v="Electronics components"/>
    <s v="Technology"/>
    <x v="1"/>
    <x v="2"/>
    <s v="Wang"/>
    <s v="Laichun"/>
    <n v="7300"/>
    <n v="1967"/>
    <n v="6"/>
    <n v="3"/>
    <n v="125.08"/>
    <n v="19910000000000"/>
    <n v="77"/>
    <n v="9.4"/>
    <n v="59.2"/>
    <n v="1397715000"/>
    <x v="284"/>
    <d v="2025-12-27T00:00:00"/>
    <d v="1967-06-03T00:00:00"/>
  </r>
  <r>
    <n v="317"/>
    <x v="3"/>
    <x v="297"/>
    <s v="United States"/>
    <s v="Gladwyne"/>
    <s v="Trading, investments"/>
    <s v="Finance &amp; Investments"/>
    <x v="1"/>
    <x v="1"/>
    <s v="Dantchik"/>
    <s v="Arthur"/>
    <n v="7200"/>
    <n v="1957"/>
    <n v="11"/>
    <n v="25"/>
    <n v="117.24"/>
    <n v="21427700000000"/>
    <n v="78.5"/>
    <n v="9.6"/>
    <n v="36.6"/>
    <n v="328239523"/>
    <x v="285"/>
    <d v="2025-12-27T00:00:00"/>
    <d v="1957-11-25T00:00:00"/>
  </r>
  <r>
    <n v="317"/>
    <x v="15"/>
    <x v="298"/>
    <s v="United States"/>
    <s v="Palm Beach"/>
    <s v="Real estate, investments"/>
    <s v="Real Estate"/>
    <x v="1"/>
    <x v="1"/>
    <s v="Greene"/>
    <s v="Jeff"/>
    <n v="7200"/>
    <n v="1954"/>
    <n v="12"/>
    <n v="10"/>
    <n v="117.24"/>
    <n v="21427700000000"/>
    <n v="78.5"/>
    <n v="9.6"/>
    <n v="36.6"/>
    <n v="328239523"/>
    <x v="286"/>
    <d v="2025-12-27T00:00:00"/>
    <d v="1954-12-10T00:00:00"/>
  </r>
  <r>
    <n v="317"/>
    <x v="3"/>
    <x v="299"/>
    <s v="United States"/>
    <s v="Malibu"/>
    <s v="Auto loans"/>
    <s v="Finance &amp; Investments"/>
    <x v="1"/>
    <x v="1"/>
    <s v="Hankey"/>
    <s v="Don"/>
    <n v="7200"/>
    <n v="1943"/>
    <n v="6"/>
    <n v="13"/>
    <n v="117.24"/>
    <n v="21427700000000"/>
    <n v="78.5"/>
    <n v="9.6"/>
    <n v="36.6"/>
    <n v="328239523"/>
    <x v="287"/>
    <d v="2025-12-27T00:00:00"/>
    <d v="1943-06-13T00:00:00"/>
  </r>
  <r>
    <n v="317"/>
    <x v="12"/>
    <x v="300"/>
    <s v="United States"/>
    <s v="Houston"/>
    <s v="Pipelines"/>
    <s v="Energy"/>
    <x v="1"/>
    <x v="1"/>
    <s v="Kinder"/>
    <s v="Richard"/>
    <n v="7200"/>
    <n v="1944"/>
    <n v="10"/>
    <n v="19"/>
    <n v="117.24"/>
    <n v="21427700000000"/>
    <n v="78.5"/>
    <n v="9.6"/>
    <n v="36.6"/>
    <n v="328239523"/>
    <x v="288"/>
    <d v="2025-12-27T00:00:00"/>
    <d v="1944-10-19T00:00:00"/>
  </r>
  <r>
    <n v="317"/>
    <x v="3"/>
    <x v="301"/>
    <s v="United Arab Emirates"/>
    <s v="Dubai"/>
    <s v="Fintech"/>
    <s v="Finance &amp; Investments"/>
    <x v="1"/>
    <x v="1"/>
    <s v="Pousaz"/>
    <s v="Guillaume"/>
    <n v="7200"/>
    <n v="1981"/>
    <n v="8"/>
    <n v="15"/>
    <n v="114.52"/>
    <n v="421142267938"/>
    <n v="77.8"/>
    <n v="0.1"/>
    <n v="15.9"/>
    <n v="9770529"/>
    <x v="289"/>
    <d v="2025-12-27T00:00:00"/>
    <d v="1981-08-15T00:00:00"/>
  </r>
  <r>
    <n v="317"/>
    <x v="0"/>
    <x v="302"/>
    <s v="Japan"/>
    <s v="Tokyo"/>
    <s v="Personal care goods"/>
    <s v="Fashion &amp; Retail"/>
    <x v="0"/>
    <x v="1"/>
    <s v="Takahara"/>
    <s v="Takahisa"/>
    <n v="7200"/>
    <n v="1961"/>
    <n v="7"/>
    <n v="12"/>
    <n v="105.48"/>
    <n v="5081769542380"/>
    <n v="84.2"/>
    <n v="11.9"/>
    <n v="46.7"/>
    <n v="126226568"/>
    <x v="290"/>
    <d v="2025-12-27T00:00:00"/>
    <d v="1961-07-12T00:00:00"/>
  </r>
  <r>
    <n v="317"/>
    <x v="7"/>
    <x v="303"/>
    <s v="China"/>
    <s v="Hangzhou"/>
    <s v="Beverages"/>
    <s v="Food &amp; Beverage"/>
    <x v="1"/>
    <x v="1"/>
    <s v="Zong"/>
    <s v="Qinghou"/>
    <n v="7200"/>
    <n v="1945"/>
    <n v="10"/>
    <n v="1"/>
    <n v="125.08"/>
    <n v="19910000000000"/>
    <n v="77"/>
    <n v="9.4"/>
    <n v="59.2"/>
    <n v="1397715000"/>
    <x v="291"/>
    <d v="2025-12-27T00:00:00"/>
    <d v="1945-10-01T00:00:00"/>
  </r>
  <r>
    <n v="325"/>
    <x v="2"/>
    <x v="304"/>
    <s v="United States"/>
    <s v="Madison"/>
    <s v="Healthcare software"/>
    <s v="Technology"/>
    <x v="1"/>
    <x v="2"/>
    <s v="Faulkner"/>
    <s v="Judy"/>
    <n v="7100"/>
    <n v="1943"/>
    <n v="8"/>
    <n v="1"/>
    <n v="117.24"/>
    <n v="21427700000000"/>
    <n v="78.5"/>
    <n v="9.6"/>
    <n v="36.6"/>
    <n v="328239523"/>
    <x v="292"/>
    <d v="2025-12-27T00:00:00"/>
    <d v="1943-08-01T00:00:00"/>
  </r>
  <r>
    <n v="325"/>
    <x v="9"/>
    <x v="305"/>
    <s v="Austria"/>
    <s v="Vienna"/>
    <s v="Gambling"/>
    <s v="Gambling &amp; Casinos"/>
    <x v="1"/>
    <x v="1"/>
    <s v="Graf"/>
    <s v="Johann"/>
    <n v="7100"/>
    <n v="1947"/>
    <n v="1"/>
    <n v="3"/>
    <n v="118.06"/>
    <n v="446314739528"/>
    <n v="81.599999999999994"/>
    <n v="25.4"/>
    <n v="51.4"/>
    <n v="8877067"/>
    <x v="293"/>
    <d v="2025-12-27T00:00:00"/>
    <d v="1947-01-03T00:00:00"/>
  </r>
  <r>
    <n v="325"/>
    <x v="14"/>
    <x v="306"/>
    <s v="United States"/>
    <s v="Lexington"/>
    <s v="Self storage"/>
    <s v="Service"/>
    <x v="0"/>
    <x v="2"/>
    <s v="Gustavson"/>
    <s v="Tamara"/>
    <n v="7100"/>
    <n v="1961"/>
    <n v="11"/>
    <n v="16"/>
    <n v="117.24"/>
    <n v="21427700000000"/>
    <n v="78.5"/>
    <n v="9.6"/>
    <n v="36.6"/>
    <n v="328239523"/>
    <x v="294"/>
    <d v="2025-12-27T00:00:00"/>
    <d v="1961-11-16T00:00:00"/>
  </r>
  <r>
    <n v="325"/>
    <x v="10"/>
    <x v="307"/>
    <s v="China"/>
    <s v="Changsha"/>
    <s v="Construction equipment"/>
    <s v="Manufacturing"/>
    <x v="1"/>
    <x v="1"/>
    <s v="Liang"/>
    <s v="Wengen"/>
    <n v="7100"/>
    <n v="1956"/>
    <n v="12"/>
    <n v="14"/>
    <n v="125.08"/>
    <n v="19910000000000"/>
    <n v="77"/>
    <n v="9.4"/>
    <n v="59.2"/>
    <n v="1397715000"/>
    <x v="295"/>
    <d v="2025-12-27T00:00:00"/>
    <d v="1956-12-14T00:00:00"/>
  </r>
  <r>
    <n v="325"/>
    <x v="13"/>
    <x v="308"/>
    <s v="Switzerland"/>
    <s v="Lausanne"/>
    <s v="Health care"/>
    <s v="Healthcare"/>
    <x v="0"/>
    <x v="1"/>
    <s v="Paulsen"/>
    <s v="Frederik"/>
    <n v="7100"/>
    <n v="1950"/>
    <n v="10"/>
    <n v="30"/>
    <n v="99.55"/>
    <n v="703082435360"/>
    <n v="83.6"/>
    <n v="10.1"/>
    <n v="28.8"/>
    <n v="8574832"/>
    <x v="296"/>
    <d v="2025-12-27T00:00:00"/>
    <d v="1950-10-30T00:00:00"/>
  </r>
  <r>
    <n v="325"/>
    <x v="3"/>
    <x v="309"/>
    <s v="Singapore"/>
    <s v="Singapore"/>
    <s v="Banking"/>
    <s v="Finance &amp; Investments"/>
    <x v="0"/>
    <x v="1"/>
    <s v="Wee"/>
    <s v="Cho Yaw"/>
    <n v="7100"/>
    <n v="1929"/>
    <n v="1"/>
    <n v="10"/>
    <n v="114.41"/>
    <n v="372062527489"/>
    <n v="83.1"/>
    <n v="13.1"/>
    <n v="21"/>
    <n v="5703569"/>
    <x v="297"/>
    <d v="2025-12-27T00:00:00"/>
    <d v="1929-01-10T00:00:00"/>
  </r>
  <r>
    <n v="325"/>
    <x v="10"/>
    <x v="310"/>
    <s v="China"/>
    <s v="Ningbo"/>
    <s v="Electronics"/>
    <s v="Manufacturing"/>
    <x v="1"/>
    <x v="1"/>
    <s v="Zhang"/>
    <s v="Hejun"/>
    <n v="7100"/>
    <n v="1952"/>
    <n v="1"/>
    <n v="1"/>
    <n v="125.08"/>
    <n v="19910000000000"/>
    <n v="77"/>
    <n v="9.4"/>
    <n v="59.2"/>
    <n v="1397715000"/>
    <x v="276"/>
    <d v="2025-12-27T00:00:00"/>
    <d v="1952-01-01T00:00:00"/>
  </r>
  <r>
    <n v="332"/>
    <x v="2"/>
    <x v="311"/>
    <s v="United States"/>
    <s v="San Francisco"/>
    <s v="Business software"/>
    <s v="Technology"/>
    <x v="1"/>
    <x v="1"/>
    <s v="Benioff"/>
    <s v="Marc"/>
    <n v="7000"/>
    <n v="1964"/>
    <n v="9"/>
    <n v="25"/>
    <n v="117.24"/>
    <n v="21427700000000"/>
    <n v="78.5"/>
    <n v="9.6"/>
    <n v="36.6"/>
    <n v="328239523"/>
    <x v="298"/>
    <d v="2025-12-27T00:00:00"/>
    <d v="1964-09-25T00:00:00"/>
  </r>
  <r>
    <n v="332"/>
    <x v="4"/>
    <x v="312"/>
    <s v="United Kingdom"/>
    <s v="London"/>
    <s v="Online games"/>
    <s v="Media &amp; Entertainment"/>
    <x v="1"/>
    <x v="1"/>
    <s v="Bukhman"/>
    <s v="Dmitri"/>
    <n v="7000"/>
    <n v="1985"/>
    <n v="5"/>
    <n v="27"/>
    <n v="119.62"/>
    <n v="2827113184696"/>
    <n v="81.3"/>
    <n v="25.5"/>
    <n v="30.6"/>
    <n v="66834405"/>
    <x v="299"/>
    <d v="2025-12-27T00:00:00"/>
    <d v="1985-05-27T00:00:00"/>
  </r>
  <r>
    <n v="332"/>
    <x v="4"/>
    <x v="313"/>
    <s v="United Kingdom"/>
    <s v="London"/>
    <s v="Online games"/>
    <s v="Media &amp; Entertainment"/>
    <x v="1"/>
    <x v="1"/>
    <s v="Bukhman"/>
    <s v="Igor"/>
    <n v="7000"/>
    <n v="1982"/>
    <n v="3"/>
    <n v="29"/>
    <n v="119.62"/>
    <n v="2827113184696"/>
    <n v="81.3"/>
    <n v="25.5"/>
    <n v="30.6"/>
    <n v="66834405"/>
    <x v="300"/>
    <d v="2025-12-27T00:00:00"/>
    <d v="1982-03-29T00:00:00"/>
  </r>
  <r>
    <n v="332"/>
    <x v="2"/>
    <x v="314"/>
    <s v="United States"/>
    <s v="Redlands"/>
    <s v="Mapping software"/>
    <s v="Technology"/>
    <x v="1"/>
    <x v="1"/>
    <s v="Dangermond"/>
    <s v="Jack"/>
    <n v="7000"/>
    <n v="1945"/>
    <n v="7"/>
    <n v="23"/>
    <n v="117.24"/>
    <n v="21427700000000"/>
    <n v="78.5"/>
    <n v="9.6"/>
    <n v="36.6"/>
    <n v="328239523"/>
    <x v="301"/>
    <d v="2025-12-27T00:00:00"/>
    <d v="1945-07-23T00:00:00"/>
  </r>
  <r>
    <n v="332"/>
    <x v="10"/>
    <x v="315"/>
    <s v="India"/>
    <s v="Mumbai"/>
    <s v="Paints"/>
    <s v="Manufacturing"/>
    <x v="0"/>
    <x v="1"/>
    <s v="Dani"/>
    <s v="Ashwin"/>
    <n v="7000"/>
    <n v="1942"/>
    <n v="10"/>
    <n v="24"/>
    <n v="180.44"/>
    <n v="2611000000000"/>
    <n v="69.400000000000006"/>
    <n v="11.2"/>
    <n v="49.7"/>
    <n v="1366417754"/>
    <x v="302"/>
    <d v="2025-12-27T00:00:00"/>
    <d v="1942-10-24T00:00:00"/>
  </r>
  <r>
    <n v="332"/>
    <x v="0"/>
    <x v="316"/>
    <s v="United States"/>
    <s v="New York"/>
    <s v="Apparel"/>
    <s v="Fashion &amp; Retail"/>
    <x v="1"/>
    <x v="1"/>
    <s v="Lauren"/>
    <s v="Ralph"/>
    <n v="7000"/>
    <n v="1939"/>
    <n v="10"/>
    <n v="14"/>
    <n v="117.24"/>
    <n v="21427700000000"/>
    <n v="78.5"/>
    <n v="9.6"/>
    <n v="36.6"/>
    <n v="328239523"/>
    <x v="303"/>
    <d v="2025-12-27T00:00:00"/>
    <d v="1939-10-14T00:00:00"/>
  </r>
  <r>
    <n v="332"/>
    <x v="6"/>
    <x v="317"/>
    <s v="India"/>
    <s v="Mumbai"/>
    <s v="Diversified"/>
    <s v="Diversified"/>
    <x v="0"/>
    <x v="2"/>
    <s v="Mistry"/>
    <s v="Rohiqa Cyrus"/>
    <n v="7000"/>
    <n v="1967"/>
    <n v="6"/>
    <n v="6"/>
    <n v="180.44"/>
    <n v="2611000000000"/>
    <n v="69.400000000000006"/>
    <n v="11.2"/>
    <n v="49.7"/>
    <n v="1366417754"/>
    <x v="304"/>
    <d v="2025-12-27T00:00:00"/>
    <d v="1967-06-06T00:00:00"/>
  </r>
  <r>
    <n v="332"/>
    <x v="6"/>
    <x v="318"/>
    <s v="India"/>
    <s v="Mumbai"/>
    <s v="Diversified"/>
    <s v="Diversified"/>
    <x v="0"/>
    <x v="1"/>
    <s v="Mistry"/>
    <s v="Shapoor"/>
    <n v="7000"/>
    <n v="1964"/>
    <n v="9"/>
    <n v="6"/>
    <n v="180.44"/>
    <n v="2611000000000"/>
    <n v="69.400000000000006"/>
    <n v="11.2"/>
    <n v="49.7"/>
    <n v="1366417754"/>
    <x v="305"/>
    <d v="2025-12-27T00:00:00"/>
    <d v="1964-09-06T00:00:00"/>
  </r>
  <r>
    <n v="332"/>
    <x v="7"/>
    <x v="319"/>
    <s v="United States"/>
    <s v="Hobe Sound"/>
    <s v="Food distribution"/>
    <s v="Food &amp; Beverage"/>
    <x v="1"/>
    <x v="1"/>
    <s v="Reyes"/>
    <s v="J. Christopher"/>
    <n v="7000"/>
    <n v="1953"/>
    <n v="12"/>
    <n v="29"/>
    <n v="117.24"/>
    <n v="21427700000000"/>
    <n v="78.5"/>
    <n v="9.6"/>
    <n v="36.6"/>
    <n v="328239523"/>
    <x v="306"/>
    <d v="2025-12-27T00:00:00"/>
    <d v="1953-12-29T00:00:00"/>
  </r>
  <r>
    <n v="332"/>
    <x v="7"/>
    <x v="320"/>
    <s v="United States"/>
    <s v="Palm Beach"/>
    <s v="Food distribution"/>
    <s v="Food &amp; Beverage"/>
    <x v="1"/>
    <x v="1"/>
    <s v="Reyes"/>
    <s v="Jude"/>
    <n v="7000"/>
    <n v="1955"/>
    <n v="9"/>
    <n v="16"/>
    <n v="117.24"/>
    <n v="21427700000000"/>
    <n v="78.5"/>
    <n v="9.6"/>
    <n v="36.6"/>
    <n v="328239523"/>
    <x v="307"/>
    <d v="2025-12-27T00:00:00"/>
    <d v="1955-09-16T00:00:00"/>
  </r>
  <r>
    <n v="332"/>
    <x v="7"/>
    <x v="321"/>
    <s v="United States"/>
    <s v="Port Washington"/>
    <s v="Beverages"/>
    <s v="Food &amp; Beverage"/>
    <x v="1"/>
    <x v="1"/>
    <s v="Vultaggio"/>
    <s v="Don"/>
    <n v="7000"/>
    <n v="1952"/>
    <n v="2"/>
    <n v="26"/>
    <n v="117.24"/>
    <n v="21427700000000"/>
    <n v="78.5"/>
    <n v="9.6"/>
    <n v="36.6"/>
    <n v="328239523"/>
    <x v="308"/>
    <d v="2025-12-27T00:00:00"/>
    <d v="1952-02-26T00:00:00"/>
  </r>
  <r>
    <n v="344"/>
    <x v="6"/>
    <x v="322"/>
    <s v="United States"/>
    <s v="Los Angeles"/>
    <s v="Homebuilding, insurance"/>
    <s v="Diversified"/>
    <x v="0"/>
    <x v="2"/>
    <s v="Broad"/>
    <s v="Edythe"/>
    <n v="6900"/>
    <n v="1936"/>
    <n v="1"/>
    <n v="1"/>
    <n v="117.24"/>
    <n v="21427700000000"/>
    <n v="78.5"/>
    <n v="9.6"/>
    <n v="36.6"/>
    <n v="328239523"/>
    <x v="309"/>
    <d v="2025-12-27T00:00:00"/>
    <d v="1936-01-01T00:00:00"/>
  </r>
  <r>
    <n v="344"/>
    <x v="7"/>
    <x v="323"/>
    <s v="United States"/>
    <s v="St. Louis"/>
    <s v="Cargill"/>
    <s v="Food &amp; Beverage"/>
    <x v="0"/>
    <x v="2"/>
    <s v="Keinath"/>
    <s v="Pauline MacMillan"/>
    <n v="6900"/>
    <n v="1934"/>
    <n v="1"/>
    <n v="1"/>
    <n v="117.24"/>
    <n v="21427700000000"/>
    <n v="78.5"/>
    <n v="9.6"/>
    <n v="36.6"/>
    <n v="328239523"/>
    <x v="310"/>
    <d v="2025-12-27T00:00:00"/>
    <d v="1934-01-01T00:00:00"/>
  </r>
  <r>
    <n v="344"/>
    <x v="3"/>
    <x v="324"/>
    <s v="United States"/>
    <s v="New York"/>
    <s v="Hedge fund"/>
    <s v="Finance &amp; Investments"/>
    <x v="1"/>
    <x v="1"/>
    <s v="Laffont"/>
    <s v="Philippe"/>
    <n v="6900"/>
    <n v="1967"/>
    <n v="9"/>
    <n v="16"/>
    <n v="117.24"/>
    <n v="21427700000000"/>
    <n v="78.5"/>
    <n v="9.6"/>
    <n v="36.6"/>
    <n v="328239523"/>
    <x v="311"/>
    <d v="2025-12-27T00:00:00"/>
    <d v="1967-09-16T00:00:00"/>
  </r>
  <r>
    <n v="344"/>
    <x v="2"/>
    <x v="325"/>
    <s v="China"/>
    <s v="Huizhou"/>
    <s v="Lithium batteries"/>
    <s v="Technology"/>
    <x v="1"/>
    <x v="1"/>
    <s v="Liu"/>
    <s v="Jincheng"/>
    <n v="6900"/>
    <n v="1964"/>
    <n v="9"/>
    <n v="22"/>
    <n v="125.08"/>
    <n v="19910000000000"/>
    <n v="77"/>
    <n v="9.4"/>
    <n v="59.2"/>
    <n v="1397715000"/>
    <x v="312"/>
    <d v="2025-12-27T00:00:00"/>
    <d v="1964-09-22T00:00:00"/>
  </r>
  <r>
    <n v="344"/>
    <x v="15"/>
    <x v="326"/>
    <s v="United States"/>
    <s v="Lighthouse Point"/>
    <s v="Real estate"/>
    <s v="Real Estate"/>
    <x v="1"/>
    <x v="1"/>
    <s v="Olenicoff"/>
    <s v="Igor"/>
    <n v="6900"/>
    <n v="1942"/>
    <n v="9"/>
    <n v="20"/>
    <n v="117.24"/>
    <n v="21427700000000"/>
    <n v="78.5"/>
    <n v="9.6"/>
    <n v="36.6"/>
    <n v="328239523"/>
    <x v="313"/>
    <d v="2025-12-27T00:00:00"/>
    <d v="1942-09-20T00:00:00"/>
  </r>
  <r>
    <n v="344"/>
    <x v="0"/>
    <x v="327"/>
    <s v="Spain"/>
    <s v="La Coruna"/>
    <s v="Zara"/>
    <s v="Fashion &amp; Retail"/>
    <x v="0"/>
    <x v="2"/>
    <s v="Ortega Mera"/>
    <s v="Sandra"/>
    <n v="6900"/>
    <n v="1968"/>
    <n v="7"/>
    <n v="9"/>
    <n v="110.96"/>
    <n v="1394116310769"/>
    <n v="83.3"/>
    <n v="14.2"/>
    <n v="47"/>
    <n v="47076781"/>
    <x v="314"/>
    <d v="2025-12-27T00:00:00"/>
    <d v="1968-07-09T00:00:00"/>
  </r>
  <r>
    <n v="344"/>
    <x v="13"/>
    <x v="328"/>
    <s v="United States"/>
    <s v="Portage"/>
    <s v="Medical equipment"/>
    <s v="Healthcare"/>
    <x v="0"/>
    <x v="2"/>
    <s v="Stryker"/>
    <s v="Ronda"/>
    <n v="6900"/>
    <n v="1954"/>
    <n v="5"/>
    <n v="1"/>
    <n v="117.24"/>
    <n v="21427700000000"/>
    <n v="78.5"/>
    <n v="9.6"/>
    <n v="36.6"/>
    <n v="328239523"/>
    <x v="315"/>
    <d v="2025-12-27T00:00:00"/>
    <d v="1954-05-01T00:00:00"/>
  </r>
  <r>
    <n v="352"/>
    <x v="12"/>
    <x v="329"/>
    <s v="United States"/>
    <s v="Houston"/>
    <s v="Pipelines"/>
    <s v="Energy"/>
    <x v="0"/>
    <x v="2"/>
    <s v="Avara"/>
    <s v="Dannine"/>
    <n v="6800"/>
    <n v="1964"/>
    <n v="3"/>
    <n v="9"/>
    <n v="117.24"/>
    <n v="21427700000000"/>
    <n v="78.5"/>
    <n v="9.6"/>
    <n v="36.6"/>
    <n v="328239523"/>
    <x v="316"/>
    <d v="2025-12-27T00:00:00"/>
    <d v="1964-03-09T00:00:00"/>
  </r>
  <r>
    <n v="352"/>
    <x v="6"/>
    <x v="330"/>
    <s v="Italy"/>
    <s v="Milan"/>
    <s v="Media"/>
    <s v="Diversified"/>
    <x v="1"/>
    <x v="1"/>
    <s v="Berlusconi"/>
    <s v="Silvio"/>
    <n v="6800"/>
    <n v="1936"/>
    <n v="9"/>
    <n v="29"/>
    <n v="110.62"/>
    <n v="2001244392042"/>
    <n v="82.9"/>
    <n v="24.3"/>
    <n v="59.1"/>
    <n v="60297396"/>
    <x v="317"/>
    <d v="2025-12-27T00:00:00"/>
    <d v="1936-09-29T00:00:00"/>
  </r>
  <r>
    <n v="352"/>
    <x v="9"/>
    <x v="331"/>
    <s v="United Kingdom"/>
    <s v="Stoke-on-Trent"/>
    <s v="Online gambling"/>
    <s v="Gambling &amp; Casinos"/>
    <x v="1"/>
    <x v="2"/>
    <s v="Coates"/>
    <s v="Denise"/>
    <n v="6800"/>
    <n v="1967"/>
    <n v="9"/>
    <n v="26"/>
    <n v="119.62"/>
    <n v="2827113184696"/>
    <n v="81.3"/>
    <n v="25.5"/>
    <n v="30.6"/>
    <n v="66834405"/>
    <x v="318"/>
    <d v="2025-12-27T00:00:00"/>
    <d v="1967-09-26T00:00:00"/>
  </r>
  <r>
    <n v="352"/>
    <x v="12"/>
    <x v="332"/>
    <s v="United States"/>
    <s v="Houston"/>
    <s v="Pipelines"/>
    <s v="Energy"/>
    <x v="0"/>
    <x v="1"/>
    <s v="Duncan"/>
    <s v="Scott"/>
    <n v="6800"/>
    <n v="1982"/>
    <n v="11"/>
    <n v="1"/>
    <n v="117.24"/>
    <n v="21427700000000"/>
    <n v="78.5"/>
    <n v="9.6"/>
    <n v="36.6"/>
    <n v="328239523"/>
    <x v="319"/>
    <d v="2025-12-27T00:00:00"/>
    <d v="1982-11-01T00:00:00"/>
  </r>
  <r>
    <n v="352"/>
    <x v="12"/>
    <x v="333"/>
    <s v="United States"/>
    <s v="Houston"/>
    <s v="Pipelines"/>
    <s v="Energy"/>
    <x v="0"/>
    <x v="2"/>
    <s v="Frantz"/>
    <s v="Milane"/>
    <n v="6800"/>
    <n v="1969"/>
    <n v="8"/>
    <n v="12"/>
    <n v="117.24"/>
    <n v="21427700000000"/>
    <n v="78.5"/>
    <n v="9.6"/>
    <n v="36.6"/>
    <n v="328239523"/>
    <x v="320"/>
    <d v="2025-12-27T00:00:00"/>
    <d v="1969-08-12T00:00:00"/>
  </r>
  <r>
    <n v="352"/>
    <x v="3"/>
    <x v="334"/>
    <s v="United States"/>
    <s v="Boston"/>
    <s v="Fidelity"/>
    <s v="Finance &amp; Investments"/>
    <x v="0"/>
    <x v="1"/>
    <s v="Johnson"/>
    <s v="Edward"/>
    <n v="6800"/>
    <n v="1964"/>
    <n v="11"/>
    <n v="18"/>
    <n v="117.24"/>
    <n v="21427700000000"/>
    <n v="78.5"/>
    <n v="9.6"/>
    <n v="36.6"/>
    <n v="328239523"/>
    <x v="321"/>
    <d v="2025-12-27T00:00:00"/>
    <d v="1964-11-18T00:00:00"/>
  </r>
  <r>
    <n v="352"/>
    <x v="3"/>
    <x v="335"/>
    <s v="United States"/>
    <s v="Los Altos"/>
    <s v="Tech investments"/>
    <s v="Finance &amp; Investments"/>
    <x v="1"/>
    <x v="1"/>
    <s v="Milner"/>
    <s v="Yuri"/>
    <n v="6800"/>
    <n v="1961"/>
    <n v="11"/>
    <n v="11"/>
    <n v="117.24"/>
    <n v="21427700000000"/>
    <n v="78.5"/>
    <n v="9.6"/>
    <n v="36.6"/>
    <n v="328239523"/>
    <x v="322"/>
    <d v="2025-12-27T00:00:00"/>
    <d v="1961-11-11T00:00:00"/>
  </r>
  <r>
    <n v="352"/>
    <x v="2"/>
    <x v="336"/>
    <s v="United States"/>
    <s v="Woodside"/>
    <s v="Intel"/>
    <s v="Technology"/>
    <x v="1"/>
    <x v="1"/>
    <s v="Moore"/>
    <s v="Gordon"/>
    <n v="6800"/>
    <n v="1929"/>
    <n v="1"/>
    <n v="3"/>
    <n v="117.24"/>
    <n v="21427700000000"/>
    <n v="78.5"/>
    <n v="9.6"/>
    <n v="36.6"/>
    <n v="328239523"/>
    <x v="323"/>
    <d v="2025-12-27T00:00:00"/>
    <d v="1929-01-03T00:00:00"/>
  </r>
  <r>
    <n v="352"/>
    <x v="3"/>
    <x v="337"/>
    <s v="United States"/>
    <s v="Millburn"/>
    <s v="Hedge funds"/>
    <s v="Finance &amp; Investments"/>
    <x v="1"/>
    <x v="1"/>
    <s v="Overdeck"/>
    <s v="John"/>
    <n v="6800"/>
    <n v="1969"/>
    <n v="12"/>
    <n v="21"/>
    <n v="117.24"/>
    <n v="21427700000000"/>
    <n v="78.5"/>
    <n v="9.6"/>
    <n v="36.6"/>
    <n v="328239523"/>
    <x v="324"/>
    <d v="2025-12-27T00:00:00"/>
    <d v="1969-12-21T00:00:00"/>
  </r>
  <r>
    <n v="352"/>
    <x v="3"/>
    <x v="338"/>
    <s v="United States"/>
    <s v="Scarsdale"/>
    <s v="Hedge funds"/>
    <s v="Finance &amp; Investments"/>
    <x v="1"/>
    <x v="1"/>
    <s v="Siegel"/>
    <s v="David"/>
    <n v="6800"/>
    <n v="1961"/>
    <n v="7"/>
    <n v="15"/>
    <n v="117.24"/>
    <n v="21427700000000"/>
    <n v="78.5"/>
    <n v="9.6"/>
    <n v="36.6"/>
    <n v="328239523"/>
    <x v="325"/>
    <d v="2025-12-27T00:00:00"/>
    <d v="1961-07-15T00:00:00"/>
  </r>
  <r>
    <n v="352"/>
    <x v="6"/>
    <x v="339"/>
    <s v="Russia"/>
    <s v="Moscow"/>
    <s v="Metals, investments"/>
    <s v="Diversified"/>
    <x v="1"/>
    <x v="1"/>
    <s v="Vekselberg"/>
    <s v="Viktor"/>
    <n v="6800"/>
    <n v="1957"/>
    <n v="4"/>
    <n v="14"/>
    <n v="180.75"/>
    <n v="1699876578871"/>
    <n v="72.7"/>
    <n v="11.4"/>
    <n v="46.2"/>
    <n v="144373535"/>
    <x v="326"/>
    <d v="2025-12-27T00:00:00"/>
    <d v="1957-04-14T00:00:00"/>
  </r>
  <r>
    <n v="352"/>
    <x v="2"/>
    <x v="340"/>
    <s v="China"/>
    <s v="Shenzhen"/>
    <s v="Electronics components"/>
    <s v="Technology"/>
    <x v="1"/>
    <x v="1"/>
    <s v="Wang"/>
    <s v="Laisheng"/>
    <n v="6800"/>
    <n v="1964"/>
    <n v="12"/>
    <n v="14"/>
    <n v="125.08"/>
    <n v="19910000000000"/>
    <n v="77"/>
    <n v="9.4"/>
    <n v="59.2"/>
    <n v="1397715000"/>
    <x v="327"/>
    <d v="2025-12-27T00:00:00"/>
    <d v="1964-12-14T00:00:00"/>
  </r>
  <r>
    <n v="352"/>
    <x v="12"/>
    <x v="341"/>
    <s v="United States"/>
    <s v="Houston"/>
    <s v="Pipelines"/>
    <s v="Energy"/>
    <x v="0"/>
    <x v="2"/>
    <s v="Williams"/>
    <s v="Randa Duncan"/>
    <n v="6800"/>
    <n v="1961"/>
    <n v="8"/>
    <n v="28"/>
    <n v="117.24"/>
    <n v="21427700000000"/>
    <n v="78.5"/>
    <n v="9.6"/>
    <n v="36.6"/>
    <n v="328239523"/>
    <x v="328"/>
    <d v="2025-12-27T00:00:00"/>
    <d v="1961-08-28T00:00:00"/>
  </r>
  <r>
    <n v="365"/>
    <x v="3"/>
    <x v="342"/>
    <s v="United States"/>
    <s v="Dallas"/>
    <s v="Money management"/>
    <s v="Finance &amp; Investments"/>
    <x v="1"/>
    <x v="1"/>
    <s v="Fisher"/>
    <s v="Ken"/>
    <n v="6700"/>
    <n v="1950"/>
    <n v="11"/>
    <n v="29"/>
    <n v="117.24"/>
    <n v="21427700000000"/>
    <n v="78.5"/>
    <n v="9.6"/>
    <n v="36.6"/>
    <n v="328239523"/>
    <x v="329"/>
    <d v="2025-12-27T00:00:00"/>
    <d v="1950-11-29T00:00:00"/>
  </r>
  <r>
    <n v="365"/>
    <x v="3"/>
    <x v="343"/>
    <s v="United Kingdom"/>
    <s v="London"/>
    <s v="Hedge funds"/>
    <s v="Finance &amp; Investments"/>
    <x v="1"/>
    <x v="1"/>
    <s v="Hohn"/>
    <s v="Christopher"/>
    <n v="6700"/>
    <n v="1966"/>
    <n v="10"/>
    <n v="27"/>
    <n v="119.62"/>
    <n v="2827113184696"/>
    <n v="81.3"/>
    <n v="25.5"/>
    <n v="30.6"/>
    <n v="66834405"/>
    <x v="330"/>
    <d v="2025-12-27T00:00:00"/>
    <d v="1966-10-27T00:00:00"/>
  </r>
  <r>
    <n v="365"/>
    <x v="10"/>
    <x v="344"/>
    <s v="Denmark"/>
    <s v="Billund"/>
    <s v="Lego"/>
    <s v="Manufacturing"/>
    <x v="0"/>
    <x v="1"/>
    <s v="Kristiansen"/>
    <s v="Kjeld Kirk"/>
    <n v="6700"/>
    <n v="1947"/>
    <n v="12"/>
    <n v="27"/>
    <n v="110.35"/>
    <n v="348078018464"/>
    <n v="81"/>
    <n v="32.4"/>
    <n v="23.8"/>
    <n v="5818553"/>
    <x v="331"/>
    <d v="2025-12-27T00:00:00"/>
    <d v="1947-12-27T00:00:00"/>
  </r>
  <r>
    <n v="365"/>
    <x v="10"/>
    <x v="345"/>
    <s v="Denmark"/>
    <s v="Billund"/>
    <s v="Lego"/>
    <s v="Manufacturing"/>
    <x v="0"/>
    <x v="2"/>
    <s v="Kristiansen"/>
    <s v="Sofie Kirk"/>
    <n v="6700"/>
    <n v="1976"/>
    <n v="1"/>
    <n v="1"/>
    <n v="110.35"/>
    <n v="348078018464"/>
    <n v="81"/>
    <n v="32.4"/>
    <n v="23.8"/>
    <n v="5818553"/>
    <x v="332"/>
    <d v="2025-12-27T00:00:00"/>
    <d v="1976-01-01T00:00:00"/>
  </r>
  <r>
    <n v="365"/>
    <x v="10"/>
    <x v="346"/>
    <s v="Denmark"/>
    <s v="Billund"/>
    <s v="Lego"/>
    <s v="Manufacturing"/>
    <x v="0"/>
    <x v="1"/>
    <s v="Kristiansen"/>
    <s v="Thomas Kirk"/>
    <n v="6700"/>
    <n v="1979"/>
    <n v="1"/>
    <n v="1"/>
    <n v="110.35"/>
    <n v="348078018464"/>
    <n v="81"/>
    <n v="32.4"/>
    <n v="23.8"/>
    <n v="5818553"/>
    <x v="333"/>
    <d v="2025-12-27T00:00:00"/>
    <d v="1979-01-01T00:00:00"/>
  </r>
  <r>
    <n v="365"/>
    <x v="13"/>
    <x v="347"/>
    <s v="Italy"/>
    <s v="Fiesole"/>
    <s v="Pharmaceuticals"/>
    <s v="Healthcare"/>
    <x v="0"/>
    <x v="2"/>
    <s v="Landini Aleotti"/>
    <s v="Massimiliana"/>
    <n v="6700"/>
    <n v="1943"/>
    <n v="1"/>
    <n v="1"/>
    <n v="110.62"/>
    <n v="2001244392042"/>
    <n v="82.9"/>
    <n v="24.3"/>
    <n v="59.1"/>
    <n v="60297396"/>
    <x v="62"/>
    <d v="2025-12-27T00:00:00"/>
    <d v="1943-01-01T00:00:00"/>
  </r>
  <r>
    <n v="365"/>
    <x v="1"/>
    <x v="348"/>
    <s v="China"/>
    <s v="Ningde"/>
    <s v="Batteries"/>
    <s v="Automotive"/>
    <x v="1"/>
    <x v="1"/>
    <s v="Li"/>
    <s v="Ping"/>
    <n v="6700"/>
    <n v="1968"/>
    <n v="1"/>
    <n v="1"/>
    <n v="125.08"/>
    <n v="19910000000000"/>
    <n v="77"/>
    <n v="9.4"/>
    <n v="59.2"/>
    <n v="1397715000"/>
    <x v="220"/>
    <d v="2025-12-27T00:00:00"/>
    <d v="1968-01-01T00:00:00"/>
  </r>
  <r>
    <n v="365"/>
    <x v="10"/>
    <x v="349"/>
    <s v="China"/>
    <s v="Hangzhou"/>
    <s v="Solar panel components"/>
    <s v="Manufacturing"/>
    <x v="1"/>
    <x v="1"/>
    <s v="Lin"/>
    <s v="Jianhua"/>
    <n v="6700"/>
    <n v="1962"/>
    <n v="8"/>
    <n v="1"/>
    <n v="125.08"/>
    <n v="19910000000000"/>
    <n v="77"/>
    <n v="9.4"/>
    <n v="59.2"/>
    <n v="1397715000"/>
    <x v="334"/>
    <d v="2025-12-27T00:00:00"/>
    <d v="1962-08-01T00:00:00"/>
  </r>
  <r>
    <n v="365"/>
    <x v="10"/>
    <x v="350"/>
    <s v="Switzerland"/>
    <s v="Feldmeilen"/>
    <s v="Chemicals"/>
    <s v="Manufacturing"/>
    <x v="0"/>
    <x v="2"/>
    <s v="Martullo-Blocher"/>
    <s v="Magdalena"/>
    <n v="6700"/>
    <n v="1969"/>
    <n v="1"/>
    <n v="1"/>
    <n v="99.55"/>
    <n v="703082435360"/>
    <n v="83.6"/>
    <n v="10.1"/>
    <n v="28.8"/>
    <n v="8574832"/>
    <x v="36"/>
    <d v="2025-12-27T00:00:00"/>
    <d v="1969-01-01T00:00:00"/>
  </r>
  <r>
    <n v="365"/>
    <x v="5"/>
    <x v="351"/>
    <s v="France"/>
    <s v="Paris"/>
    <s v="Internet, telecom"/>
    <s v="Telecom"/>
    <x v="1"/>
    <x v="1"/>
    <s v="Niel"/>
    <s v="Xavier"/>
    <n v="6700"/>
    <n v="1967"/>
    <n v="8"/>
    <n v="25"/>
    <n v="110.05"/>
    <n v="2715518274227"/>
    <n v="82.5"/>
    <n v="24.2"/>
    <n v="60.7"/>
    <n v="67059887"/>
    <x v="335"/>
    <d v="2025-12-27T00:00:00"/>
    <d v="1967-08-25T00:00:00"/>
  </r>
  <r>
    <n v="365"/>
    <x v="12"/>
    <x v="352"/>
    <s v="United States"/>
    <s v="Boca Raton"/>
    <s v="Natural gas"/>
    <s v="Energy"/>
    <x v="1"/>
    <x v="1"/>
    <s v="Pegula"/>
    <s v="Terrence"/>
    <n v="6700"/>
    <n v="1951"/>
    <n v="3"/>
    <n v="27"/>
    <n v="117.24"/>
    <n v="21427700000000"/>
    <n v="78.5"/>
    <n v="9.6"/>
    <n v="36.6"/>
    <n v="328239523"/>
    <x v="336"/>
    <d v="2025-12-27T00:00:00"/>
    <d v="1951-03-27T00:00:00"/>
  </r>
  <r>
    <n v="365"/>
    <x v="15"/>
    <x v="353"/>
    <s v="United States"/>
    <s v="Los Angeles"/>
    <s v="Real estate"/>
    <s v="Real Estate"/>
    <x v="0"/>
    <x v="1"/>
    <s v="Roski"/>
    <s v="Edward"/>
    <n v="6700"/>
    <n v="1938"/>
    <n v="12"/>
    <n v="25"/>
    <n v="117.24"/>
    <n v="21427700000000"/>
    <n v="78.5"/>
    <n v="9.6"/>
    <n v="36.6"/>
    <n v="328239523"/>
    <x v="337"/>
    <d v="2025-12-27T00:00:00"/>
    <d v="1938-12-25T00:00:00"/>
  </r>
  <r>
    <n v="365"/>
    <x v="15"/>
    <x v="354"/>
    <s v="United States"/>
    <s v="Atherton"/>
    <s v="Real estate"/>
    <s v="Real Estate"/>
    <x v="1"/>
    <x v="1"/>
    <s v="Sobrato"/>
    <s v="John A."/>
    <n v="6700"/>
    <n v="1939"/>
    <n v="5"/>
    <n v="23"/>
    <n v="117.24"/>
    <n v="21427700000000"/>
    <n v="78.5"/>
    <n v="9.6"/>
    <n v="36.6"/>
    <n v="328239523"/>
    <x v="338"/>
    <d v="2025-12-27T00:00:00"/>
    <d v="1939-05-23T00:00:00"/>
  </r>
  <r>
    <n v="365"/>
    <x v="3"/>
    <x v="355"/>
    <s v="United States"/>
    <s v="Katonah"/>
    <s v="Hedge funds"/>
    <s v="Finance &amp; Investments"/>
    <x v="1"/>
    <x v="1"/>
    <s v="Soros"/>
    <s v="George"/>
    <n v="6700"/>
    <n v="1930"/>
    <n v="8"/>
    <n v="12"/>
    <n v="117.24"/>
    <n v="21427700000000"/>
    <n v="78.5"/>
    <n v="9.6"/>
    <n v="36.6"/>
    <n v="328239523"/>
    <x v="339"/>
    <d v="2025-12-27T00:00:00"/>
    <d v="1930-08-12T00:00:00"/>
  </r>
  <r>
    <n v="365"/>
    <x v="2"/>
    <x v="356"/>
    <s v="United States"/>
    <s v="Irvine"/>
    <s v="Computer hardware"/>
    <s v="Technology"/>
    <x v="1"/>
    <x v="1"/>
    <s v="Sun"/>
    <s v="David"/>
    <n v="6700"/>
    <n v="1951"/>
    <n v="10"/>
    <n v="12"/>
    <n v="117.24"/>
    <n v="21427700000000"/>
    <n v="78.5"/>
    <n v="9.6"/>
    <n v="36.6"/>
    <n v="328239523"/>
    <x v="340"/>
    <d v="2025-12-27T00:00:00"/>
    <d v="1951-10-12T00:00:00"/>
  </r>
  <r>
    <n v="365"/>
    <x v="10"/>
    <x v="357"/>
    <s v="Denmark"/>
    <s v="Billund"/>
    <s v="Lego"/>
    <s v="Manufacturing"/>
    <x v="0"/>
    <x v="2"/>
    <s v="Thinggaard"/>
    <s v="Agnete Kirk"/>
    <n v="6700"/>
    <n v="1983"/>
    <n v="5"/>
    <n v="18"/>
    <n v="110.35"/>
    <n v="348078018464"/>
    <n v="81"/>
    <n v="32.4"/>
    <n v="23.8"/>
    <n v="5818553"/>
    <x v="341"/>
    <d v="2025-12-27T00:00:00"/>
    <d v="1983-05-18T00:00:00"/>
  </r>
  <r>
    <n v="365"/>
    <x v="2"/>
    <x v="358"/>
    <s v="United States"/>
    <s v="Rolling Hills"/>
    <s v="Computer hardware"/>
    <s v="Technology"/>
    <x v="1"/>
    <x v="1"/>
    <s v="Tu"/>
    <s v="John"/>
    <n v="6700"/>
    <n v="1941"/>
    <n v="8"/>
    <n v="12"/>
    <n v="117.24"/>
    <n v="21427700000000"/>
    <n v="78.5"/>
    <n v="9.6"/>
    <n v="36.6"/>
    <n v="328239523"/>
    <x v="163"/>
    <d v="2025-12-27T00:00:00"/>
    <d v="1941-08-12T00:00:00"/>
  </r>
  <r>
    <n v="365"/>
    <x v="7"/>
    <x v="359"/>
    <s v="China"/>
    <s v="Quanzhou"/>
    <s v="Snacks, beverages"/>
    <s v="Food &amp; Beverage"/>
    <x v="1"/>
    <x v="1"/>
    <s v="Xu"/>
    <s v="Shihui"/>
    <n v="6700"/>
    <n v="1958"/>
    <n v="1"/>
    <n v="1"/>
    <n v="125.08"/>
    <n v="19910000000000"/>
    <n v="77"/>
    <n v="9.4"/>
    <n v="59.2"/>
    <n v="1397715000"/>
    <x v="342"/>
    <d v="2025-12-27T00:00:00"/>
    <d v="1958-01-01T00:00:00"/>
  </r>
  <r>
    <n v="383"/>
    <x v="10"/>
    <x v="360"/>
    <s v="Switzerland"/>
    <s v="Wilen bei Wollerau"/>
    <s v="Chemicals"/>
    <s v="Manufacturing"/>
    <x v="0"/>
    <x v="2"/>
    <s v="Blocher"/>
    <s v="Rahel"/>
    <n v="6600"/>
    <n v="1976"/>
    <n v="1"/>
    <n v="1"/>
    <n v="99.55"/>
    <n v="703082435360"/>
    <n v="83.6"/>
    <n v="10.1"/>
    <n v="28.8"/>
    <n v="8574832"/>
    <x v="332"/>
    <d v="2025-12-27T00:00:00"/>
    <d v="1976-01-01T00:00:00"/>
  </r>
  <r>
    <n v="383"/>
    <x v="7"/>
    <x v="361"/>
    <s v="United States"/>
    <s v="Atlanta"/>
    <s v="Chick-fil-A"/>
    <s v="Food &amp; Beverage"/>
    <x v="0"/>
    <x v="1"/>
    <s v="Cathy"/>
    <s v="Bubba"/>
    <n v="6600"/>
    <n v="1954"/>
    <n v="4"/>
    <n v="22"/>
    <n v="117.24"/>
    <n v="21427700000000"/>
    <n v="78.5"/>
    <n v="9.6"/>
    <n v="36.6"/>
    <n v="328239523"/>
    <x v="343"/>
    <d v="2025-12-27T00:00:00"/>
    <d v="1954-04-22T00:00:00"/>
  </r>
  <r>
    <n v="383"/>
    <x v="7"/>
    <x v="362"/>
    <s v="United States"/>
    <s v="Atlanta"/>
    <s v="Chick-fil-A"/>
    <s v="Food &amp; Beverage"/>
    <x v="0"/>
    <x v="1"/>
    <s v="Cathy"/>
    <s v="Dan"/>
    <n v="6600"/>
    <n v="1953"/>
    <n v="3"/>
    <n v="1"/>
    <n v="117.24"/>
    <n v="21427700000000"/>
    <n v="78.5"/>
    <n v="9.6"/>
    <n v="36.6"/>
    <n v="328239523"/>
    <x v="344"/>
    <d v="2025-12-27T00:00:00"/>
    <d v="1953-03-01T00:00:00"/>
  </r>
  <r>
    <n v="383"/>
    <x v="7"/>
    <x v="363"/>
    <s v="United States"/>
    <s v="Hampton"/>
    <s v="Chick-fil-A"/>
    <s v="Food &amp; Beverage"/>
    <x v="0"/>
    <x v="2"/>
    <s v="Cathy White"/>
    <s v="Trudy"/>
    <n v="6600"/>
    <n v="1955"/>
    <n v="12"/>
    <n v="17"/>
    <n v="117.24"/>
    <n v="21427700000000"/>
    <n v="78.5"/>
    <n v="9.6"/>
    <n v="36.6"/>
    <n v="328239523"/>
    <x v="345"/>
    <d v="2025-12-27T00:00:00"/>
    <d v="1955-12-17T00:00:00"/>
  </r>
  <r>
    <n v="383"/>
    <x v="3"/>
    <x v="364"/>
    <s v="United States"/>
    <s v="New York"/>
    <s v="Hedge funds"/>
    <s v="Finance &amp; Investments"/>
    <x v="1"/>
    <x v="1"/>
    <s v="Kovner"/>
    <s v="Bruce"/>
    <n v="6600"/>
    <n v="1945"/>
    <n v="2"/>
    <n v="25"/>
    <n v="117.24"/>
    <n v="21427700000000"/>
    <n v="78.5"/>
    <n v="9.6"/>
    <n v="36.6"/>
    <n v="328239523"/>
    <x v="346"/>
    <d v="2025-12-27T00:00:00"/>
    <d v="1945-02-25T00:00:00"/>
  </r>
  <r>
    <n v="383"/>
    <x v="2"/>
    <x v="365"/>
    <s v="United States"/>
    <s v="Newport Coast"/>
    <s v="Semiconductors"/>
    <s v="Technology"/>
    <x v="1"/>
    <x v="1"/>
    <s v="Nicholas"/>
    <s v="Henry"/>
    <n v="6600"/>
    <n v="1959"/>
    <n v="10"/>
    <n v="8"/>
    <n v="117.24"/>
    <n v="21427700000000"/>
    <n v="78.5"/>
    <n v="9.6"/>
    <n v="36.6"/>
    <n v="328239523"/>
    <x v="347"/>
    <d v="2025-12-27T00:00:00"/>
    <d v="1959-10-08T00:00:00"/>
  </r>
  <r>
    <n v="383"/>
    <x v="3"/>
    <x v="366"/>
    <s v="Germany"/>
    <s v="Munich"/>
    <s v="Investments"/>
    <s v="Finance &amp; Investments"/>
    <x v="0"/>
    <x v="2"/>
    <s v="Thiele"/>
    <s v="Nadia"/>
    <n v="6600"/>
    <n v="1976"/>
    <n v="1"/>
    <n v="7"/>
    <n v="112.85"/>
    <n v="3845630030824"/>
    <n v="80.900000000000006"/>
    <n v="11.5"/>
    <n v="48.8"/>
    <n v="83132799"/>
    <x v="348"/>
    <d v="2025-12-27T00:00:00"/>
    <d v="1976-01-07T00:00:00"/>
  </r>
  <r>
    <n v="390"/>
    <x v="3"/>
    <x v="367"/>
    <s v="United States"/>
    <s v="Fort Worth"/>
    <s v="Private equity"/>
    <s v="Finance &amp; Investments"/>
    <x v="1"/>
    <x v="1"/>
    <s v="Bonderman"/>
    <s v="David"/>
    <n v="6500"/>
    <n v="1942"/>
    <n v="11"/>
    <n v="27"/>
    <n v="117.24"/>
    <n v="21427700000000"/>
    <n v="78.5"/>
    <n v="9.6"/>
    <n v="36.6"/>
    <n v="328239523"/>
    <x v="349"/>
    <d v="2025-12-27T00:00:00"/>
    <d v="1942-11-27T00:00:00"/>
  </r>
  <r>
    <n v="390"/>
    <x v="2"/>
    <x v="368"/>
    <s v="United States"/>
    <s v="Medina"/>
    <s v="Microsoft"/>
    <s v="Technology"/>
    <x v="0"/>
    <x v="2"/>
    <s v="French Gates"/>
    <s v="Melinda"/>
    <n v="6500"/>
    <n v="1964"/>
    <n v="8"/>
    <n v="15"/>
    <n v="117.24"/>
    <n v="21427700000000"/>
    <n v="78.5"/>
    <n v="9.6"/>
    <n v="36.6"/>
    <n v="328239523"/>
    <x v="350"/>
    <d v="2025-12-27T00:00:00"/>
    <d v="1964-08-15T00:00:00"/>
  </r>
  <r>
    <n v="390"/>
    <x v="15"/>
    <x v="369"/>
    <s v="United States"/>
    <s v="Chevy Chase"/>
    <s v="Real estate"/>
    <s v="Real Estate"/>
    <x v="0"/>
    <x v="2"/>
    <s v="Lerner"/>
    <s v="Annette"/>
    <n v="6500"/>
    <n v="1930"/>
    <n v="2"/>
    <n v="27"/>
    <n v="117.24"/>
    <n v="21427700000000"/>
    <n v="78.5"/>
    <n v="9.6"/>
    <n v="36.6"/>
    <n v="328239523"/>
    <x v="351"/>
    <d v="2025-12-27T00:00:00"/>
    <d v="1930-02-27T00:00:00"/>
  </r>
  <r>
    <n v="390"/>
    <x v="15"/>
    <x v="370"/>
    <s v="United Kingdom"/>
    <s v="London"/>
    <s v="Investments, real estate"/>
    <s v="Real Estate"/>
    <x v="1"/>
    <x v="1"/>
    <s v="Reuben"/>
    <s v="David"/>
    <n v="6500"/>
    <n v="1938"/>
    <n v="9"/>
    <n v="1"/>
    <n v="119.62"/>
    <n v="2827113184696"/>
    <n v="81.3"/>
    <n v="25.5"/>
    <n v="30.6"/>
    <n v="66834405"/>
    <x v="352"/>
    <d v="2025-12-27T00:00:00"/>
    <d v="1938-09-01T00:00:00"/>
  </r>
  <r>
    <n v="390"/>
    <x v="15"/>
    <x v="371"/>
    <s v="Switzerland"/>
    <s v="Crans Montana"/>
    <s v="Real estate"/>
    <s v="Real Estate"/>
    <x v="1"/>
    <x v="1"/>
    <s v="Vitek"/>
    <s v="Radovan"/>
    <n v="6500"/>
    <n v="1971"/>
    <n v="4"/>
    <n v="22"/>
    <n v="99.55"/>
    <n v="703082435360"/>
    <n v="83.6"/>
    <n v="10.1"/>
    <n v="28.8"/>
    <n v="8574832"/>
    <x v="353"/>
    <d v="2025-12-27T00:00:00"/>
    <d v="1971-04-22T00:00:00"/>
  </r>
  <r>
    <n v="397"/>
    <x v="3"/>
    <x v="372"/>
    <s v="Sweden"/>
    <s v="Gothenberg"/>
    <s v="Investments"/>
    <s v="Finance &amp; Investments"/>
    <x v="1"/>
    <x v="1"/>
    <s v="Bennet"/>
    <s v="Carl"/>
    <n v="6400"/>
    <n v="1951"/>
    <n v="8"/>
    <n v="19"/>
    <n v="110.51"/>
    <n v="530832908738"/>
    <n v="82.5"/>
    <n v="27.9"/>
    <n v="49.1"/>
    <n v="10285453"/>
    <x v="354"/>
    <d v="2025-12-27T00:00:00"/>
    <d v="1951-08-19T00:00:00"/>
  </r>
  <r>
    <n v="397"/>
    <x v="17"/>
    <x v="373"/>
    <s v="United States"/>
    <s v="Hobe Sound"/>
    <s v="Staffing, Baltimore Ravens"/>
    <s v="Sports"/>
    <x v="1"/>
    <x v="1"/>
    <s v="Bisciotti"/>
    <s v="Stephen"/>
    <n v="6400"/>
    <n v="1960"/>
    <n v="4"/>
    <n v="10"/>
    <n v="117.24"/>
    <n v="21427700000000"/>
    <n v="78.5"/>
    <n v="9.6"/>
    <n v="36.6"/>
    <n v="328239523"/>
    <x v="355"/>
    <d v="2025-12-27T00:00:00"/>
    <d v="1960-04-10T00:00:00"/>
  </r>
  <r>
    <n v="397"/>
    <x v="3"/>
    <x v="374"/>
    <s v="United States"/>
    <s v="New York"/>
    <s v="Hedge funds"/>
    <s v="Finance &amp; Investments"/>
    <x v="1"/>
    <x v="1"/>
    <s v="Druckenmiller"/>
    <s v="Stanley"/>
    <n v="6400"/>
    <n v="1953"/>
    <n v="6"/>
    <n v="14"/>
    <n v="117.24"/>
    <n v="21427700000000"/>
    <n v="78.5"/>
    <n v="9.6"/>
    <n v="36.6"/>
    <n v="328239523"/>
    <x v="356"/>
    <d v="2025-12-27T00:00:00"/>
    <d v="1953-06-14T00:00:00"/>
  </r>
  <r>
    <n v="397"/>
    <x v="13"/>
    <x v="375"/>
    <s v="China"/>
    <s v="Beijing"/>
    <s v="Biomedical products"/>
    <s v="Healthcare"/>
    <x v="1"/>
    <x v="2"/>
    <s v="Jian"/>
    <s v="Jun"/>
    <n v="6400"/>
    <n v="1963"/>
    <n v="11"/>
    <n v="1"/>
    <n v="125.08"/>
    <n v="19910000000000"/>
    <n v="77"/>
    <n v="9.4"/>
    <n v="59.2"/>
    <n v="1397715000"/>
    <x v="357"/>
    <d v="2025-12-27T00:00:00"/>
    <d v="1963-11-01T00:00:00"/>
  </r>
  <r>
    <n v="397"/>
    <x v="12"/>
    <x v="376"/>
    <s v="France"/>
    <s v="Paris"/>
    <s v="Oil, banking, telecom"/>
    <s v="Energy"/>
    <x v="1"/>
    <x v="1"/>
    <s v="Kuzmichev"/>
    <s v="Alexei"/>
    <n v="6400"/>
    <n v="1962"/>
    <n v="10"/>
    <n v="15"/>
    <n v="110.05"/>
    <n v="2715518274227"/>
    <n v="82.5"/>
    <n v="24.2"/>
    <n v="60.7"/>
    <n v="67059887"/>
    <x v="358"/>
    <d v="2025-12-27T00:00:00"/>
    <d v="1962-10-15T00:00:00"/>
  </r>
  <r>
    <n v="397"/>
    <x v="3"/>
    <x v="377"/>
    <s v="Colombia"/>
    <s v="Bogota"/>
    <s v="Banking"/>
    <s v="Finance &amp; Investments"/>
    <x v="1"/>
    <x v="1"/>
    <s v="Sarmiento"/>
    <s v="Luis Carlos"/>
    <n v="6400"/>
    <n v="1933"/>
    <n v="1"/>
    <n v="27"/>
    <n v="140.94999999999999"/>
    <n v="323802808108"/>
    <n v="77.099999999999994"/>
    <n v="14.4"/>
    <n v="71.2"/>
    <n v="50339443"/>
    <x v="359"/>
    <d v="2025-12-27T00:00:00"/>
    <d v="1933-01-27T00:00:00"/>
  </r>
  <r>
    <n v="397"/>
    <x v="8"/>
    <x v="378"/>
    <s v="United States"/>
    <s v="Missoula"/>
    <s v="Construction, mining"/>
    <s v="Logistics"/>
    <x v="1"/>
    <x v="1"/>
    <s v="Washington"/>
    <s v="Dennis"/>
    <n v="6400"/>
    <n v="1934"/>
    <n v="7"/>
    <n v="27"/>
    <n v="117.24"/>
    <n v="21427700000000"/>
    <n v="78.5"/>
    <n v="9.6"/>
    <n v="36.6"/>
    <n v="328239523"/>
    <x v="360"/>
    <d v="2025-12-27T00:00:00"/>
    <d v="1934-07-27T00:00:00"/>
  </r>
  <r>
    <n v="405"/>
    <x v="16"/>
    <x v="379"/>
    <s v="United Kingdom"/>
    <s v="Gloucestershire"/>
    <s v="Construction equipment"/>
    <s v="Construction &amp; Engineering"/>
    <x v="0"/>
    <x v="1"/>
    <s v="Bamford"/>
    <s v="Anthony"/>
    <n v="6300"/>
    <n v="1945"/>
    <n v="10"/>
    <n v="23"/>
    <n v="119.62"/>
    <n v="2827113184696"/>
    <n v="81.3"/>
    <n v="25.5"/>
    <n v="30.6"/>
    <n v="66834405"/>
    <x v="361"/>
    <d v="2025-12-27T00:00:00"/>
    <d v="1945-10-23T00:00:00"/>
  </r>
  <r>
    <n v="405"/>
    <x v="12"/>
    <x v="380"/>
    <s v="China"/>
    <s v="Changzhou"/>
    <s v="Solar equipment"/>
    <s v="Energy"/>
    <x v="1"/>
    <x v="1"/>
    <s v="Gao"/>
    <s v="Jifan"/>
    <n v="6300"/>
    <n v="1965"/>
    <n v="1"/>
    <n v="1"/>
    <n v="125.08"/>
    <n v="19910000000000"/>
    <n v="77"/>
    <n v="9.4"/>
    <n v="59.2"/>
    <n v="1397715000"/>
    <x v="362"/>
    <d v="2025-12-27T00:00:00"/>
    <d v="1965-01-01T00:00:00"/>
  </r>
  <r>
    <n v="405"/>
    <x v="3"/>
    <x v="381"/>
    <s v="United Kingdom"/>
    <s v="London"/>
    <s v="Private equity"/>
    <s v="Finance &amp; Investments"/>
    <x v="1"/>
    <x v="1"/>
    <s v="Grayken"/>
    <s v="John"/>
    <n v="6300"/>
    <n v="1956"/>
    <n v="6"/>
    <n v="1"/>
    <n v="119.62"/>
    <n v="2827113184696"/>
    <n v="81.3"/>
    <n v="25.5"/>
    <n v="30.6"/>
    <n v="66834405"/>
    <x v="363"/>
    <d v="2025-12-27T00:00:00"/>
    <d v="1956-06-01T00:00:00"/>
  </r>
  <r>
    <n v="405"/>
    <x v="13"/>
    <x v="382"/>
    <s v="France"/>
    <s v="Lyon"/>
    <s v="Pharmaceuticals"/>
    <s v="Healthcare"/>
    <x v="0"/>
    <x v="1"/>
    <s v="Merieux"/>
    <s v="Alain"/>
    <n v="6300"/>
    <n v="1938"/>
    <n v="1"/>
    <n v="1"/>
    <n v="110.05"/>
    <n v="2715518274227"/>
    <n v="82.5"/>
    <n v="24.2"/>
    <n v="60.7"/>
    <n v="67059887"/>
    <x v="364"/>
    <d v="2025-12-27T00:00:00"/>
    <d v="1938-01-01T00:00:00"/>
  </r>
  <r>
    <n v="405"/>
    <x v="12"/>
    <x v="383"/>
    <s v="China"/>
    <s v="Langfang"/>
    <s v="Natural gas distribution"/>
    <s v="Energy"/>
    <x v="1"/>
    <x v="1"/>
    <s v="Wang"/>
    <s v="Yusuo"/>
    <n v="6300"/>
    <n v="1964"/>
    <n v="3"/>
    <n v="11"/>
    <n v="125.08"/>
    <n v="19910000000000"/>
    <n v="77"/>
    <n v="9.4"/>
    <n v="59.2"/>
    <n v="1397715000"/>
    <x v="365"/>
    <d v="2025-12-27T00:00:00"/>
    <d v="1964-03-11T00:00:00"/>
  </r>
  <r>
    <n v="405"/>
    <x v="10"/>
    <x v="384"/>
    <s v="Israel"/>
    <s v="Tel Aviv"/>
    <s v="Metalworking tools"/>
    <s v="Manufacturing"/>
    <x v="1"/>
    <x v="1"/>
    <s v="Wertheimer"/>
    <s v="Stef"/>
    <n v="6300"/>
    <n v="1926"/>
    <n v="7"/>
    <n v="16"/>
    <n v="108.15"/>
    <n v="395098666122"/>
    <n v="82.8"/>
    <n v="23.1"/>
    <n v="25.3"/>
    <n v="9053300"/>
    <x v="366"/>
    <d v="2025-12-27T00:00:00"/>
    <d v="1926-07-16T00:00:00"/>
  </r>
  <r>
    <n v="411"/>
    <x v="7"/>
    <x v="385"/>
    <s v="Mexico"/>
    <s v="Mexico City"/>
    <s v="Beer, investments"/>
    <s v="Food &amp; Beverage"/>
    <x v="0"/>
    <x v="2"/>
    <s v="Aramburuzabala"/>
    <s v="Maria Asuncion"/>
    <n v="6200"/>
    <n v="1963"/>
    <n v="5"/>
    <n v="2"/>
    <n v="141.54"/>
    <n v="1258286717125"/>
    <n v="75"/>
    <n v="13.1"/>
    <n v="55.1"/>
    <n v="126014024"/>
    <x v="367"/>
    <d v="2025-12-27T00:00:00"/>
    <d v="1963-05-02T00:00:00"/>
  </r>
  <r>
    <n v="411"/>
    <x v="6"/>
    <x v="386"/>
    <s v="Sweden"/>
    <s v="Stockholm"/>
    <s v="Investments"/>
    <s v="Diversified"/>
    <x v="1"/>
    <x v="1"/>
    <s v="Douglas"/>
    <s v="Gustaf"/>
    <n v="6200"/>
    <n v="1938"/>
    <n v="3"/>
    <n v="3"/>
    <n v="110.51"/>
    <n v="530832908738"/>
    <n v="82.5"/>
    <n v="27.9"/>
    <n v="49.1"/>
    <n v="10285453"/>
    <x v="368"/>
    <d v="2025-12-27T00:00:00"/>
    <d v="1938-03-03T00:00:00"/>
  </r>
  <r>
    <n v="411"/>
    <x v="14"/>
    <x v="387"/>
    <s v="Netherlands"/>
    <s v="Amsterdam"/>
    <s v="Temp agency"/>
    <s v="Service"/>
    <x v="1"/>
    <x v="1"/>
    <s v="Goldschmeding"/>
    <s v="Frits"/>
    <n v="6200"/>
    <n v="1933"/>
    <n v="8"/>
    <n v="2"/>
    <n v="115.91"/>
    <n v="909070395161"/>
    <n v="81.8"/>
    <n v="23"/>
    <n v="41.2"/>
    <n v="17332850"/>
    <x v="369"/>
    <d v="2025-12-27T00:00:00"/>
    <d v="1933-08-02T00:00:00"/>
  </r>
  <r>
    <n v="411"/>
    <x v="7"/>
    <x v="388"/>
    <s v="China"/>
    <s v="Shenzhen"/>
    <s v="Beverages"/>
    <s v="Food &amp; Beverage"/>
    <x v="1"/>
    <x v="1"/>
    <s v="Lin"/>
    <s v="Muqin"/>
    <n v="6200"/>
    <n v="1964"/>
    <n v="1"/>
    <n v="1"/>
    <n v="125.08"/>
    <n v="19910000000000"/>
    <n v="77"/>
    <n v="9.4"/>
    <n v="59.2"/>
    <n v="1397715000"/>
    <x v="136"/>
    <d v="2025-12-27T00:00:00"/>
    <d v="1964-01-01T00:00:00"/>
  </r>
  <r>
    <n v="411"/>
    <x v="10"/>
    <x v="389"/>
    <s v="China"/>
    <s v="Ningbo"/>
    <s v="Power strips"/>
    <s v="Manufacturing"/>
    <x v="1"/>
    <x v="1"/>
    <s v="Ruan"/>
    <s v="Liping"/>
    <n v="6200"/>
    <n v="1964"/>
    <n v="1"/>
    <n v="1"/>
    <n v="125.08"/>
    <n v="19910000000000"/>
    <n v="77"/>
    <n v="9.4"/>
    <n v="59.2"/>
    <n v="1397715000"/>
    <x v="136"/>
    <d v="2025-12-27T00:00:00"/>
    <d v="1964-01-01T00:00:00"/>
  </r>
  <r>
    <n v="411"/>
    <x v="10"/>
    <x v="390"/>
    <s v="China"/>
    <s v="Ningbo"/>
    <s v="Power strip"/>
    <s v="Manufacturing"/>
    <x v="1"/>
    <x v="1"/>
    <s v="Ruan"/>
    <s v="Xueping"/>
    <n v="6200"/>
    <n v="1972"/>
    <n v="1"/>
    <n v="1"/>
    <n v="125.08"/>
    <n v="19910000000000"/>
    <n v="77"/>
    <n v="9.4"/>
    <n v="59.2"/>
    <n v="1397715000"/>
    <x v="144"/>
    <d v="2025-12-27T00:00:00"/>
    <d v="1972-01-01T00:00:00"/>
  </r>
  <r>
    <n v="411"/>
    <x v="3"/>
    <x v="391"/>
    <s v="Poland"/>
    <s v="Kielce"/>
    <s v="Investments"/>
    <s v="Finance &amp; Investments"/>
    <x v="1"/>
    <x v="1"/>
    <s v="Solowow"/>
    <s v="Michal"/>
    <n v="6200"/>
    <n v="1962"/>
    <n v="7"/>
    <n v="11"/>
    <n v="114.11"/>
    <n v="592164400688"/>
    <n v="77.599999999999994"/>
    <n v="17.399999999999999"/>
    <n v="40.799999999999997"/>
    <n v="37970874"/>
    <x v="370"/>
    <d v="2025-12-27T00:00:00"/>
    <d v="1962-07-11T00:00:00"/>
  </r>
  <r>
    <n v="418"/>
    <x v="6"/>
    <x v="392"/>
    <s v="Nigeria"/>
    <s v="Lagos"/>
    <s v="Telecom, oil"/>
    <s v="Diversified"/>
    <x v="1"/>
    <x v="1"/>
    <s v="Adenuga"/>
    <s v="Mike"/>
    <n v="6100"/>
    <n v="1953"/>
    <n v="4"/>
    <n v="29"/>
    <n v="267.51"/>
    <n v="448120428859"/>
    <n v="54.3"/>
    <n v="1.5"/>
    <n v="34.799999999999997"/>
    <n v="200963599"/>
    <x v="371"/>
    <d v="2025-12-27T00:00:00"/>
    <d v="1953-04-29T00:00:00"/>
  </r>
  <r>
    <n v="418"/>
    <x v="3"/>
    <x v="393"/>
    <s v="United States"/>
    <s v="Beverly Hills"/>
    <s v="Private equity"/>
    <s v="Finance &amp; Investments"/>
    <x v="1"/>
    <x v="1"/>
    <s v="Gores"/>
    <s v="Tom"/>
    <n v="6100"/>
    <n v="1964"/>
    <n v="7"/>
    <n v="31"/>
    <n v="117.24"/>
    <n v="21427700000000"/>
    <n v="78.5"/>
    <n v="9.6"/>
    <n v="36.6"/>
    <n v="328239523"/>
    <x v="372"/>
    <d v="2025-12-27T00:00:00"/>
    <d v="1964-07-31T00:00:00"/>
  </r>
  <r>
    <n v="418"/>
    <x v="0"/>
    <x v="394"/>
    <s v="Germany"/>
    <s v="Hamburg"/>
    <s v="Coffee"/>
    <s v="Fashion &amp; Retail"/>
    <x v="0"/>
    <x v="1"/>
    <s v="Herz"/>
    <s v="Michael"/>
    <n v="6100"/>
    <n v="1943"/>
    <n v="9"/>
    <n v="28"/>
    <n v="112.85"/>
    <n v="3845630030824"/>
    <n v="80.900000000000006"/>
    <n v="11.5"/>
    <n v="48.8"/>
    <n v="83132799"/>
    <x v="373"/>
    <d v="2025-12-27T00:00:00"/>
    <d v="1943-09-28T00:00:00"/>
  </r>
  <r>
    <n v="418"/>
    <x v="0"/>
    <x v="395"/>
    <s v="Germany"/>
    <s v="Hamburg"/>
    <s v="Coffee"/>
    <s v="Fashion &amp; Retail"/>
    <x v="0"/>
    <x v="1"/>
    <s v="Herz"/>
    <s v="Wolfgang"/>
    <n v="6100"/>
    <n v="1951"/>
    <n v="1"/>
    <n v="1"/>
    <n v="112.85"/>
    <n v="3845630030824"/>
    <n v="80.900000000000006"/>
    <n v="11.5"/>
    <n v="48.8"/>
    <n v="83132799"/>
    <x v="96"/>
    <d v="2025-12-27T00:00:00"/>
    <d v="1951-01-01T00:00:00"/>
  </r>
  <r>
    <n v="425"/>
    <x v="11"/>
    <x v="396"/>
    <s v="Russia"/>
    <s v="Moscow"/>
    <s v="Steel, mining"/>
    <s v="Metals &amp; Mining"/>
    <x v="1"/>
    <x v="1"/>
    <s v="Abramov"/>
    <s v="Alexander"/>
    <n v="6000"/>
    <n v="1959"/>
    <n v="2"/>
    <n v="20"/>
    <n v="180.75"/>
    <n v="1699876578871"/>
    <n v="72.7"/>
    <n v="11.4"/>
    <n v="46.2"/>
    <n v="144373535"/>
    <x v="374"/>
    <d v="2025-12-27T00:00:00"/>
    <d v="1959-02-20T00:00:00"/>
  </r>
  <r>
    <n v="425"/>
    <x v="15"/>
    <x v="397"/>
    <s v="United States"/>
    <s v="Chicago"/>
    <s v="Real estate"/>
    <s v="Real Estate"/>
    <x v="1"/>
    <x v="1"/>
    <s v="Bluhm"/>
    <s v="Neil"/>
    <n v="6000"/>
    <n v="1938"/>
    <n v="1"/>
    <n v="12"/>
    <n v="117.24"/>
    <n v="21427700000000"/>
    <n v="78.5"/>
    <n v="9.6"/>
    <n v="36.6"/>
    <n v="328239523"/>
    <x v="375"/>
    <d v="2025-12-27T00:00:00"/>
    <d v="1938-01-12T00:00:00"/>
  </r>
  <r>
    <n v="425"/>
    <x v="0"/>
    <x v="398"/>
    <s v="Canada"/>
    <s v="Montreal"/>
    <s v="Convinience stores"/>
    <s v="Fashion &amp; Retail"/>
    <x v="1"/>
    <x v="1"/>
    <s v="Bouchard"/>
    <s v="Alain"/>
    <n v="6000"/>
    <n v="1949"/>
    <n v="2"/>
    <n v="18"/>
    <n v="116.76"/>
    <n v="1736425629520"/>
    <n v="81.900000000000006"/>
    <n v="12.8"/>
    <n v="24.5"/>
    <n v="36991981"/>
    <x v="376"/>
    <d v="2025-12-27T00:00:00"/>
    <d v="1949-02-18T00:00:00"/>
  </r>
  <r>
    <n v="425"/>
    <x v="2"/>
    <x v="399"/>
    <s v="United States"/>
    <s v="Reno"/>
    <s v="Security software"/>
    <s v="Technology"/>
    <x v="1"/>
    <x v="1"/>
    <s v="Chaudhry"/>
    <s v="Jay"/>
    <n v="6000"/>
    <n v="1959"/>
    <n v="8"/>
    <n v="26"/>
    <n v="117.24"/>
    <n v="21427700000000"/>
    <n v="78.5"/>
    <n v="9.6"/>
    <n v="36.6"/>
    <n v="328239523"/>
    <x v="377"/>
    <d v="2025-12-27T00:00:00"/>
    <d v="1959-08-26T00:00:00"/>
  </r>
  <r>
    <n v="425"/>
    <x v="0"/>
    <x v="400"/>
    <s v="India"/>
    <s v="Mumbai"/>
    <s v="Retail, investments"/>
    <s v="Fashion &amp; Retail"/>
    <x v="1"/>
    <x v="1"/>
    <s v="Damani"/>
    <s v="Gopikishan"/>
    <n v="6000"/>
    <n v="1958"/>
    <n v="1"/>
    <n v="1"/>
    <n v="180.44"/>
    <n v="2611000000000"/>
    <n v="69.400000000000006"/>
    <n v="11.2"/>
    <n v="49.7"/>
    <n v="1366417754"/>
    <x v="342"/>
    <d v="2025-12-27T00:00:00"/>
    <d v="1958-01-01T00:00:00"/>
  </r>
  <r>
    <n v="425"/>
    <x v="6"/>
    <x v="401"/>
    <s v="Thailand"/>
    <s v="Bangkok"/>
    <s v="Diversified"/>
    <s v="Diversified"/>
    <x v="0"/>
    <x v="1"/>
    <s v="Jiaravanon"/>
    <s v="Sumet"/>
    <n v="6000"/>
    <n v="1934"/>
    <n v="11"/>
    <n v="2"/>
    <n v="113.27"/>
    <n v="543649976166"/>
    <n v="76.900000000000006"/>
    <n v="14.9"/>
    <n v="29.5"/>
    <n v="69625582"/>
    <x v="378"/>
    <d v="2025-12-27T00:00:00"/>
    <d v="1934-11-02T00:00:00"/>
  </r>
  <r>
    <n v="425"/>
    <x v="3"/>
    <x v="402"/>
    <s v="Israel"/>
    <s v="Tel Aviv"/>
    <s v="Investments"/>
    <s v="Finance &amp; Investments"/>
    <x v="1"/>
    <x v="1"/>
    <s v="Lowy"/>
    <s v="Frank"/>
    <n v="6000"/>
    <n v="1930"/>
    <n v="10"/>
    <n v="22"/>
    <n v="108.15"/>
    <n v="395098666122"/>
    <n v="82.8"/>
    <n v="23.1"/>
    <n v="25.3"/>
    <n v="9053300"/>
    <x v="379"/>
    <d v="2025-12-27T00:00:00"/>
    <d v="1930-10-22T00:00:00"/>
  </r>
  <r>
    <n v="425"/>
    <x v="3"/>
    <x v="403"/>
    <s v="United States"/>
    <s v="Los Angeles"/>
    <s v="Investments"/>
    <s v="Finance &amp; Investments"/>
    <x v="1"/>
    <x v="1"/>
    <s v="Milken"/>
    <s v="Michael"/>
    <n v="6000"/>
    <n v="1946"/>
    <n v="7"/>
    <n v="4"/>
    <n v="117.24"/>
    <n v="21427700000000"/>
    <n v="78.5"/>
    <n v="9.6"/>
    <n v="36.6"/>
    <n v="328239523"/>
    <x v="380"/>
    <d v="2025-12-27T00:00:00"/>
    <d v="1946-07-04T00:00:00"/>
  </r>
  <r>
    <n v="425"/>
    <x v="2"/>
    <x v="404"/>
    <s v="United States"/>
    <s v="St. Louis"/>
    <s v="IT provider"/>
    <s v="Technology"/>
    <x v="1"/>
    <x v="1"/>
    <s v="Steward"/>
    <s v="David"/>
    <n v="6000"/>
    <n v="1951"/>
    <n v="7"/>
    <n v="2"/>
    <n v="117.24"/>
    <n v="21427700000000"/>
    <n v="78.5"/>
    <n v="9.6"/>
    <n v="36.6"/>
    <n v="328239523"/>
    <x v="381"/>
    <d v="2025-12-27T00:00:00"/>
    <d v="1951-07-02T00:00:00"/>
  </r>
  <r>
    <n v="425"/>
    <x v="0"/>
    <x v="405"/>
    <s v="United States"/>
    <s v="New Albany"/>
    <s v="Retail"/>
    <s v="Fashion &amp; Retail"/>
    <x v="1"/>
    <x v="1"/>
    <s v="Wexner"/>
    <s v="Les"/>
    <n v="6000"/>
    <n v="1937"/>
    <n v="9"/>
    <n v="8"/>
    <n v="117.24"/>
    <n v="21427700000000"/>
    <n v="78.5"/>
    <n v="9.6"/>
    <n v="36.6"/>
    <n v="328239523"/>
    <x v="382"/>
    <d v="2025-12-27T00:00:00"/>
    <d v="1937-09-08T00:00:00"/>
  </r>
  <r>
    <n v="437"/>
    <x v="15"/>
    <x v="406"/>
    <s v="China"/>
    <s v="Chengdu"/>
    <s v="Real estate"/>
    <s v="Real Estate"/>
    <x v="1"/>
    <x v="1"/>
    <s v="Cai"/>
    <s v="Kui"/>
    <n v="5900"/>
    <n v="1963"/>
    <n v="1"/>
    <n v="1"/>
    <n v="125.08"/>
    <n v="19910000000000"/>
    <n v="77"/>
    <n v="9.4"/>
    <n v="59.2"/>
    <n v="1397715000"/>
    <x v="383"/>
    <d v="2025-12-27T00:00:00"/>
    <d v="1963-01-01T00:00:00"/>
  </r>
  <r>
    <n v="437"/>
    <x v="6"/>
    <x v="407"/>
    <s v="Thailand"/>
    <s v="Bangkok"/>
    <s v="Diversified"/>
    <s v="Diversified"/>
    <x v="0"/>
    <x v="1"/>
    <s v="Chiaravanont"/>
    <s v="Jaran"/>
    <n v="5900"/>
    <n v="1930"/>
    <n v="4"/>
    <n v="1"/>
    <n v="113.27"/>
    <n v="543649976166"/>
    <n v="76.900000000000006"/>
    <n v="14.9"/>
    <n v="29.5"/>
    <n v="69625582"/>
    <x v="384"/>
    <d v="2025-12-27T00:00:00"/>
    <d v="1930-04-01T00:00:00"/>
  </r>
  <r>
    <n v="437"/>
    <x v="3"/>
    <x v="408"/>
    <s v="United States"/>
    <s v="Darien"/>
    <s v="Hedge funds"/>
    <s v="Finance &amp; Investments"/>
    <x v="1"/>
    <x v="1"/>
    <s v="Halvorsen"/>
    <s v="Andreas"/>
    <n v="5900"/>
    <n v="1961"/>
    <n v="4"/>
    <n v="23"/>
    <n v="117.24"/>
    <n v="21427700000000"/>
    <n v="78.5"/>
    <n v="9.6"/>
    <n v="36.6"/>
    <n v="328239523"/>
    <x v="385"/>
    <d v="2025-12-27T00:00:00"/>
    <d v="1961-04-23T00:00:00"/>
  </r>
  <r>
    <n v="437"/>
    <x v="3"/>
    <x v="409"/>
    <s v="United States"/>
    <s v="Los Angeles"/>
    <s v="Finance"/>
    <s v="Finance &amp; Investments"/>
    <x v="1"/>
    <x v="1"/>
    <s v="Ressler"/>
    <s v="Antony"/>
    <n v="5900"/>
    <n v="1960"/>
    <n v="10"/>
    <n v="12"/>
    <n v="117.24"/>
    <n v="21427700000000"/>
    <n v="78.5"/>
    <n v="9.6"/>
    <n v="36.6"/>
    <n v="328239523"/>
    <x v="386"/>
    <d v="2025-12-27T00:00:00"/>
    <d v="1960-10-12T00:00:00"/>
  </r>
  <r>
    <n v="437"/>
    <x v="7"/>
    <x v="410"/>
    <s v="China"/>
    <s v="Shanghai"/>
    <s v="Food, beverages"/>
    <s v="Food &amp; Beverage"/>
    <x v="0"/>
    <x v="1"/>
    <s v="Tsai"/>
    <s v="Eng-meng"/>
    <n v="5900"/>
    <n v="1957"/>
    <n v="1"/>
    <n v="15"/>
    <n v="125.08"/>
    <n v="19910000000000"/>
    <n v="77"/>
    <n v="9.4"/>
    <n v="59.2"/>
    <n v="1397715000"/>
    <x v="387"/>
    <d v="2025-12-27T00:00:00"/>
    <d v="1957-01-15T00:00:00"/>
  </r>
  <r>
    <n v="442"/>
    <x v="3"/>
    <x v="411"/>
    <s v="United States"/>
    <s v="Miami"/>
    <s v="Private equity"/>
    <s v="Finance &amp; Investments"/>
    <x v="1"/>
    <x v="1"/>
    <s v="Harris"/>
    <s v="Josh"/>
    <n v="5800"/>
    <n v="1964"/>
    <n v="12"/>
    <n v="29"/>
    <n v="117.24"/>
    <n v="21427700000000"/>
    <n v="78.5"/>
    <n v="9.6"/>
    <n v="36.6"/>
    <n v="328239523"/>
    <x v="388"/>
    <d v="2025-12-27T00:00:00"/>
    <d v="1964-12-29T00:00:00"/>
  </r>
  <r>
    <n v="442"/>
    <x v="13"/>
    <x v="412"/>
    <s v="Denmark"/>
    <s v="Humlebaek"/>
    <s v="Medical devices"/>
    <s v="Healthcare"/>
    <x v="0"/>
    <x v="1"/>
    <s v="Louis-Hansen"/>
    <s v="Niels Peter"/>
    <n v="5800"/>
    <n v="1947"/>
    <n v="10"/>
    <n v="25"/>
    <n v="110.35"/>
    <n v="348078018464"/>
    <n v="81"/>
    <n v="32.4"/>
    <n v="23.8"/>
    <n v="5818553"/>
    <x v="389"/>
    <d v="2025-12-27T00:00:00"/>
    <d v="1947-10-25T00:00:00"/>
  </r>
  <r>
    <n v="442"/>
    <x v="13"/>
    <x v="413"/>
    <s v="United States"/>
    <s v="Los Angeles"/>
    <s v="Pharmaceuticals"/>
    <s v="Healthcare"/>
    <x v="1"/>
    <x v="1"/>
    <s v="Soon-Shiong"/>
    <s v="Patrick"/>
    <n v="5800"/>
    <n v="1952"/>
    <n v="7"/>
    <n v="29"/>
    <n v="117.24"/>
    <n v="21427700000000"/>
    <n v="78.5"/>
    <n v="9.6"/>
    <n v="36.6"/>
    <n v="328239523"/>
    <x v="390"/>
    <d v="2025-12-27T00:00:00"/>
    <d v="1952-07-29T00:00:00"/>
  </r>
  <r>
    <n v="445"/>
    <x v="11"/>
    <x v="414"/>
    <s v="Ukraine"/>
    <s v="Donetsk"/>
    <s v="Steel, coal"/>
    <s v="Metals &amp; Mining"/>
    <x v="1"/>
    <x v="1"/>
    <s v="Akhmetov"/>
    <s v="Rinat"/>
    <n v="5700"/>
    <n v="1966"/>
    <n v="9"/>
    <n v="21"/>
    <n v="281.66000000000003"/>
    <n v="153781069118"/>
    <n v="71.599999999999994"/>
    <n v="20.100000000000001"/>
    <n v="45.2"/>
    <n v="44385155"/>
    <x v="391"/>
    <d v="2025-12-27T00:00:00"/>
    <d v="1966-09-21T00:00:00"/>
  </r>
  <r>
    <n v="445"/>
    <x v="13"/>
    <x v="415"/>
    <s v="United States"/>
    <s v="Atlanta"/>
    <s v="Medical equipment"/>
    <s v="Healthcare"/>
    <x v="1"/>
    <x v="1"/>
    <s v="Brown"/>
    <s v="John"/>
    <n v="5700"/>
    <n v="1934"/>
    <n v="9"/>
    <n v="15"/>
    <n v="117.24"/>
    <n v="21427700000000"/>
    <n v="78.5"/>
    <n v="9.6"/>
    <n v="36.6"/>
    <n v="328239523"/>
    <x v="392"/>
    <d v="2025-12-27T00:00:00"/>
    <d v="1934-09-15T00:00:00"/>
  </r>
  <r>
    <n v="445"/>
    <x v="12"/>
    <x v="416"/>
    <s v="Canada"/>
    <s v="Saint John"/>
    <s v="Oil"/>
    <s v="Energy"/>
    <x v="0"/>
    <x v="1"/>
    <s v="Irving"/>
    <s v="Arthur"/>
    <n v="5700"/>
    <n v="1930"/>
    <n v="1"/>
    <n v="1"/>
    <n v="116.76"/>
    <n v="1736425629520"/>
    <n v="81.900000000000006"/>
    <n v="12.8"/>
    <n v="24.5"/>
    <n v="36991981"/>
    <x v="393"/>
    <d v="2025-12-27T00:00:00"/>
    <d v="1930-01-01T00:00:00"/>
  </r>
  <r>
    <n v="445"/>
    <x v="15"/>
    <x v="417"/>
    <s v="Sweden"/>
    <s v="Stockholm"/>
    <s v="Real estate, investments"/>
    <s v="Real Estate"/>
    <x v="0"/>
    <x v="1"/>
    <s v="Lundberg"/>
    <s v="Fredrik"/>
    <n v="5700"/>
    <n v="1951"/>
    <n v="8"/>
    <n v="5"/>
    <n v="110.51"/>
    <n v="530832908738"/>
    <n v="82.5"/>
    <n v="27.9"/>
    <n v="49.1"/>
    <n v="10285453"/>
    <x v="394"/>
    <d v="2025-12-27T00:00:00"/>
    <d v="1951-08-05T00:00:00"/>
  </r>
  <r>
    <n v="445"/>
    <x v="16"/>
    <x v="418"/>
    <s v="Switzerland"/>
    <s v="Jona"/>
    <s v="Cement"/>
    <s v="Construction &amp; Engineering"/>
    <x v="0"/>
    <x v="1"/>
    <s v="Schmidheiny"/>
    <s v="Thomas"/>
    <n v="5700"/>
    <n v="1945"/>
    <n v="12"/>
    <n v="17"/>
    <n v="99.55"/>
    <n v="703082435360"/>
    <n v="83.6"/>
    <n v="10.1"/>
    <n v="28.8"/>
    <n v="8574832"/>
    <x v="395"/>
    <d v="2025-12-27T00:00:00"/>
    <d v="1945-12-17T00:00:00"/>
  </r>
  <r>
    <n v="445"/>
    <x v="3"/>
    <x v="419"/>
    <s v="United States"/>
    <s v="New York"/>
    <s v="Investments"/>
    <s v="Finance &amp; Investments"/>
    <x v="0"/>
    <x v="1"/>
    <s v="Ziff"/>
    <s v="Daniel"/>
    <n v="5700"/>
    <n v="1971"/>
    <n v="11"/>
    <n v="2"/>
    <n v="117.24"/>
    <n v="21427700000000"/>
    <n v="78.5"/>
    <n v="9.6"/>
    <n v="36.6"/>
    <n v="328239523"/>
    <x v="396"/>
    <d v="2025-12-27T00:00:00"/>
    <d v="1971-11-02T00:00:00"/>
  </r>
  <r>
    <n v="445"/>
    <x v="3"/>
    <x v="420"/>
    <s v="United States"/>
    <s v="North Palm Beach"/>
    <s v="Investments"/>
    <s v="Finance &amp; Investments"/>
    <x v="0"/>
    <x v="1"/>
    <s v="Ziff"/>
    <s v="Dirk"/>
    <n v="5700"/>
    <n v="1964"/>
    <n v="4"/>
    <n v="1"/>
    <n v="117.24"/>
    <n v="21427700000000"/>
    <n v="78.5"/>
    <n v="9.6"/>
    <n v="36.6"/>
    <n v="328239523"/>
    <x v="397"/>
    <d v="2025-12-27T00:00:00"/>
    <d v="1964-04-01T00:00:00"/>
  </r>
  <r>
    <n v="445"/>
    <x v="3"/>
    <x v="421"/>
    <s v="United States"/>
    <s v="New York"/>
    <s v="Investments"/>
    <s v="Finance &amp; Investments"/>
    <x v="0"/>
    <x v="1"/>
    <s v="Ziff"/>
    <s v="Robert"/>
    <n v="5700"/>
    <n v="1966"/>
    <n v="8"/>
    <n v="12"/>
    <n v="117.24"/>
    <n v="21427700000000"/>
    <n v="78.5"/>
    <n v="9.6"/>
    <n v="36.6"/>
    <n v="328239523"/>
    <x v="398"/>
    <d v="2025-12-27T00:00:00"/>
    <d v="1966-08-12T00:00:00"/>
  </r>
  <r>
    <n v="455"/>
    <x v="12"/>
    <x v="422"/>
    <s v="United States"/>
    <s v="Dallas"/>
    <s v="Oil, real estate"/>
    <s v="Energy"/>
    <x v="0"/>
    <x v="1"/>
    <s v="Hunt"/>
    <s v="Ray Lee"/>
    <n v="5600"/>
    <n v="1943"/>
    <n v="4"/>
    <n v="6"/>
    <n v="117.24"/>
    <n v="21427700000000"/>
    <n v="78.5"/>
    <n v="9.6"/>
    <n v="36.6"/>
    <n v="328239523"/>
    <x v="399"/>
    <d v="2025-12-27T00:00:00"/>
    <d v="1943-04-06T00:00:00"/>
  </r>
  <r>
    <n v="455"/>
    <x v="8"/>
    <x v="423"/>
    <s v="China"/>
    <s v="Shanghai"/>
    <s v="Package delivery"/>
    <s v="Logistics"/>
    <x v="1"/>
    <x v="1"/>
    <s v="Lai"/>
    <s v="Meisong"/>
    <n v="5600"/>
    <n v="1970"/>
    <n v="12"/>
    <n v="1"/>
    <n v="125.08"/>
    <n v="19910000000000"/>
    <n v="77"/>
    <n v="9.4"/>
    <n v="59.2"/>
    <n v="1397715000"/>
    <x v="244"/>
    <d v="2025-12-27T00:00:00"/>
    <d v="1970-12-01T00:00:00"/>
  </r>
  <r>
    <n v="455"/>
    <x v="1"/>
    <x v="424"/>
    <s v="India"/>
    <s v="Delhi"/>
    <s v="Motorcycles"/>
    <s v="Automotive"/>
    <x v="0"/>
    <x v="1"/>
    <s v="Lal"/>
    <s v="Vikram"/>
    <n v="5600"/>
    <n v="1942"/>
    <n v="3"/>
    <n v="5"/>
    <n v="180.44"/>
    <n v="2611000000000"/>
    <n v="69.400000000000006"/>
    <n v="11.2"/>
    <n v="49.7"/>
    <n v="1366417754"/>
    <x v="400"/>
    <d v="2025-12-27T00:00:00"/>
    <d v="1942-03-05T00:00:00"/>
  </r>
  <r>
    <n v="455"/>
    <x v="3"/>
    <x v="425"/>
    <s v="United States"/>
    <s v="Sands Point"/>
    <s v="Investments"/>
    <s v="Finance &amp; Investments"/>
    <x v="1"/>
    <x v="1"/>
    <s v="Langone"/>
    <s v="Ken"/>
    <n v="5600"/>
    <n v="1935"/>
    <n v="9"/>
    <n v="16"/>
    <n v="117.24"/>
    <n v="21427700000000"/>
    <n v="78.5"/>
    <n v="9.6"/>
    <n v="36.6"/>
    <n v="328239523"/>
    <x v="401"/>
    <d v="2025-12-27T00:00:00"/>
    <d v="1935-09-16T00:00:00"/>
  </r>
  <r>
    <n v="455"/>
    <x v="13"/>
    <x v="426"/>
    <s v="China"/>
    <s v="Shanghai"/>
    <s v="Pharmaceutical ingredients"/>
    <s v="Healthcare"/>
    <x v="1"/>
    <x v="1"/>
    <s v="Li"/>
    <s v="Ge"/>
    <n v="5600"/>
    <n v="1967"/>
    <n v="1"/>
    <n v="1"/>
    <n v="125.08"/>
    <n v="19910000000000"/>
    <n v="77"/>
    <n v="9.4"/>
    <n v="59.2"/>
    <n v="1397715000"/>
    <x v="106"/>
    <d v="2025-12-27T00:00:00"/>
    <d v="1967-01-01T00:00:00"/>
  </r>
  <r>
    <n v="455"/>
    <x v="3"/>
    <x v="427"/>
    <s v="United States"/>
    <s v="Branford"/>
    <s v="Hotels, investments"/>
    <s v="Finance &amp; Investments"/>
    <x v="0"/>
    <x v="2"/>
    <s v="Pritzker"/>
    <s v="Karen"/>
    <n v="5600"/>
    <n v="1958"/>
    <n v="1"/>
    <n v="7"/>
    <n v="117.24"/>
    <n v="21427700000000"/>
    <n v="78.5"/>
    <n v="9.6"/>
    <n v="36.6"/>
    <n v="328239523"/>
    <x v="402"/>
    <d v="2025-12-27T00:00:00"/>
    <d v="1958-01-07T00:00:00"/>
  </r>
  <r>
    <n v="455"/>
    <x v="14"/>
    <x v="428"/>
    <s v="United States"/>
    <s v="Dallas"/>
    <s v="Hotels, investments"/>
    <s v="Service"/>
    <x v="0"/>
    <x v="1"/>
    <s v="Rowling"/>
    <s v="Robert"/>
    <n v="5600"/>
    <n v="1953"/>
    <n v="9"/>
    <n v="26"/>
    <n v="117.24"/>
    <n v="21427700000000"/>
    <n v="78.5"/>
    <n v="9.6"/>
    <n v="36.6"/>
    <n v="328239523"/>
    <x v="403"/>
    <d v="2025-12-27T00:00:00"/>
    <d v="1953-09-26T00:00:00"/>
  </r>
  <r>
    <n v="455"/>
    <x v="9"/>
    <x v="429"/>
    <s v="Israel"/>
    <s v="Tel Aviv"/>
    <s v="Gambling software"/>
    <s v="Gambling &amp; Casinos"/>
    <x v="1"/>
    <x v="1"/>
    <s v="Sagi"/>
    <s v="Teddy"/>
    <n v="5600"/>
    <n v="1971"/>
    <n v="11"/>
    <n v="1"/>
    <n v="108.15"/>
    <n v="395098666122"/>
    <n v="82.8"/>
    <n v="23.1"/>
    <n v="25.3"/>
    <n v="9053300"/>
    <x v="404"/>
    <d v="2025-12-27T00:00:00"/>
    <d v="1971-11-01T00:00:00"/>
  </r>
  <r>
    <n v="455"/>
    <x v="13"/>
    <x v="430"/>
    <s v="South Korea"/>
    <s v="Seoul"/>
    <s v="Biotech"/>
    <s v="Healthcare"/>
    <x v="1"/>
    <x v="1"/>
    <s v="Seo"/>
    <s v="Jung-jin"/>
    <n v="5600"/>
    <n v="1957"/>
    <n v="10"/>
    <n v="23"/>
    <n v="115.16"/>
    <n v="2029000000000"/>
    <n v="82.6"/>
    <n v="15.6"/>
    <n v="33.200000000000003"/>
    <n v="51709098"/>
    <x v="405"/>
    <d v="2025-12-27T00:00:00"/>
    <d v="1957-10-23T00:00:00"/>
  </r>
  <r>
    <n v="455"/>
    <x v="1"/>
    <x v="431"/>
    <s v="China"/>
    <s v="Ningbo"/>
    <s v="Auto parts"/>
    <s v="Automotive"/>
    <x v="1"/>
    <x v="1"/>
    <s v="Wu"/>
    <s v="Jianshu"/>
    <n v="5600"/>
    <n v="1964"/>
    <n v="1"/>
    <n v="1"/>
    <n v="125.08"/>
    <n v="19910000000000"/>
    <n v="77"/>
    <n v="9.4"/>
    <n v="59.2"/>
    <n v="1397715000"/>
    <x v="136"/>
    <d v="2025-12-27T00:00:00"/>
    <d v="1964-01-01T00:00:00"/>
  </r>
  <r>
    <n v="466"/>
    <x v="14"/>
    <x v="432"/>
    <s v="United States"/>
    <s v="Bal Harbour"/>
    <s v="Carnival Cruises"/>
    <s v="Service"/>
    <x v="0"/>
    <x v="1"/>
    <s v="Arison"/>
    <s v="Micky"/>
    <n v="5500"/>
    <n v="1949"/>
    <n v="6"/>
    <n v="29"/>
    <n v="117.24"/>
    <n v="21427700000000"/>
    <n v="78.5"/>
    <n v="9.6"/>
    <n v="36.6"/>
    <n v="328239523"/>
    <x v="406"/>
    <d v="2025-12-27T00:00:00"/>
    <d v="1949-06-29T00:00:00"/>
  </r>
  <r>
    <n v="466"/>
    <x v="4"/>
    <x v="433"/>
    <s v="United States"/>
    <s v="Palisades"/>
    <s v="Media, automotive"/>
    <s v="Media &amp; Entertainment"/>
    <x v="0"/>
    <x v="1"/>
    <s v="Chambers"/>
    <s v="James"/>
    <n v="5500"/>
    <n v="1957"/>
    <n v="4"/>
    <n v="12"/>
    <n v="117.24"/>
    <n v="21427700000000"/>
    <n v="78.5"/>
    <n v="9.6"/>
    <n v="36.6"/>
    <n v="328239523"/>
    <x v="407"/>
    <d v="2025-12-27T00:00:00"/>
    <d v="1957-04-12T00:00:00"/>
  </r>
  <r>
    <n v="466"/>
    <x v="2"/>
    <x v="434"/>
    <s v="United States"/>
    <s v="San Francisco"/>
    <s v="Payments software"/>
    <s v="Technology"/>
    <x v="1"/>
    <x v="1"/>
    <s v="Collison"/>
    <s v="John"/>
    <n v="5500"/>
    <n v="1990"/>
    <n v="8"/>
    <n v="6"/>
    <n v="117.24"/>
    <n v="21427700000000"/>
    <n v="78.5"/>
    <n v="9.6"/>
    <n v="36.6"/>
    <n v="328239523"/>
    <x v="408"/>
    <d v="2025-12-27T00:00:00"/>
    <d v="1990-08-06T00:00:00"/>
  </r>
  <r>
    <n v="466"/>
    <x v="2"/>
    <x v="435"/>
    <s v="United States"/>
    <s v="San Francisco"/>
    <s v="Payment software"/>
    <s v="Technology"/>
    <x v="1"/>
    <x v="1"/>
    <s v="Collison"/>
    <s v="Patrick"/>
    <n v="5500"/>
    <n v="1988"/>
    <n v="9"/>
    <n v="9"/>
    <n v="117.24"/>
    <n v="21427700000000"/>
    <n v="78.5"/>
    <n v="9.6"/>
    <n v="36.6"/>
    <n v="328239523"/>
    <x v="409"/>
    <d v="2025-12-27T00:00:00"/>
    <d v="1988-09-09T00:00:00"/>
  </r>
  <r>
    <n v="466"/>
    <x v="10"/>
    <x v="436"/>
    <s v="United States"/>
    <s v="Redding"/>
    <s v="Timberland, lumber mills"/>
    <s v="Manufacturing"/>
    <x v="1"/>
    <x v="1"/>
    <s v="Emmerson"/>
    <s v="Archie Aldis"/>
    <n v="5500"/>
    <n v="1929"/>
    <n v="4"/>
    <n v="10"/>
    <n v="117.24"/>
    <n v="21427700000000"/>
    <n v="78.5"/>
    <n v="9.6"/>
    <n v="36.6"/>
    <n v="328239523"/>
    <x v="410"/>
    <d v="2025-12-27T00:00:00"/>
    <d v="1929-04-10T00:00:00"/>
  </r>
  <r>
    <n v="466"/>
    <x v="1"/>
    <x v="437"/>
    <s v="Italy"/>
    <s v="Modena"/>
    <s v="Automobiles"/>
    <s v="Automotive"/>
    <x v="0"/>
    <x v="1"/>
    <s v="Ferrari"/>
    <s v="Piero"/>
    <n v="5500"/>
    <n v="1945"/>
    <n v="5"/>
    <n v="22"/>
    <n v="110.62"/>
    <n v="2001244392042"/>
    <n v="82.9"/>
    <n v="24.3"/>
    <n v="59.1"/>
    <n v="60297396"/>
    <x v="411"/>
    <d v="2025-12-27T00:00:00"/>
    <d v="1945-05-22T00:00:00"/>
  </r>
  <r>
    <n v="466"/>
    <x v="1"/>
    <x v="438"/>
    <s v="United States"/>
    <s v="Houston"/>
    <s v="Toyota dealerships"/>
    <s v="Automotive"/>
    <x v="0"/>
    <x v="1"/>
    <s v="Friedkin"/>
    <s v="Dan"/>
    <n v="5500"/>
    <n v="1965"/>
    <n v="2"/>
    <n v="27"/>
    <n v="117.24"/>
    <n v="21427700000000"/>
    <n v="78.5"/>
    <n v="9.6"/>
    <n v="36.6"/>
    <n v="328239523"/>
    <x v="412"/>
    <d v="2025-12-27T00:00:00"/>
    <d v="1965-02-27T00:00:00"/>
  </r>
  <r>
    <n v="466"/>
    <x v="6"/>
    <x v="439"/>
    <s v="Canada"/>
    <s v="Saint John"/>
    <s v="Diversified"/>
    <s v="Diversified"/>
    <x v="0"/>
    <x v="1"/>
    <s v="Irving"/>
    <s v="James"/>
    <n v="5500"/>
    <n v="1928"/>
    <n v="3"/>
    <n v="20"/>
    <n v="116.76"/>
    <n v="1736425629520"/>
    <n v="81.900000000000006"/>
    <n v="12.8"/>
    <n v="24.5"/>
    <n v="36991981"/>
    <x v="413"/>
    <d v="2025-12-27T00:00:00"/>
    <d v="1928-03-20T00:00:00"/>
  </r>
  <r>
    <n v="466"/>
    <x v="10"/>
    <x v="440"/>
    <s v="China"/>
    <s v="Chengdu"/>
    <s v="Chemicals"/>
    <s v="Manufacturing"/>
    <x v="1"/>
    <x v="1"/>
    <s v="Jiang"/>
    <s v="Weiping"/>
    <n v="5500"/>
    <n v="1955"/>
    <n v="3"/>
    <n v="1"/>
    <n v="125.08"/>
    <n v="19910000000000"/>
    <n v="77"/>
    <n v="9.4"/>
    <n v="59.2"/>
    <n v="1397715000"/>
    <x v="414"/>
    <d v="2025-12-27T00:00:00"/>
    <d v="1955-03-01T00:00:00"/>
  </r>
  <r>
    <n v="466"/>
    <x v="13"/>
    <x v="441"/>
    <s v="Germany"/>
    <s v="Heidelberg"/>
    <s v="Pharmaceuticals"/>
    <s v="Healthcare"/>
    <x v="1"/>
    <x v="1"/>
    <s v="Marguerre"/>
    <s v="Wolfgang"/>
    <n v="5500"/>
    <n v="1941"/>
    <n v="6"/>
    <n v="4"/>
    <n v="112.85"/>
    <n v="3845630030824"/>
    <n v="80.900000000000006"/>
    <n v="11.5"/>
    <n v="48.8"/>
    <n v="83132799"/>
    <x v="415"/>
    <d v="2025-12-27T00:00:00"/>
    <d v="1941-06-04T00:00:00"/>
  </r>
  <r>
    <n v="466"/>
    <x v="3"/>
    <x v="442"/>
    <s v="Germany"/>
    <s v="Ulm"/>
    <s v="Pharmaceuticals"/>
    <s v="Finance &amp; Investments"/>
    <x v="0"/>
    <x v="1"/>
    <s v="Merckle"/>
    <s v="Ludwig"/>
    <n v="5500"/>
    <n v="1965"/>
    <n v="1"/>
    <n v="1"/>
    <n v="112.85"/>
    <n v="3845630030824"/>
    <n v="80.900000000000006"/>
    <n v="11.5"/>
    <n v="48.8"/>
    <n v="83132799"/>
    <x v="362"/>
    <d v="2025-12-27T00:00:00"/>
    <d v="1965-01-01T00:00:00"/>
  </r>
  <r>
    <n v="466"/>
    <x v="10"/>
    <x v="443"/>
    <s v="United States"/>
    <s v="Potomac"/>
    <s v="Manufacturing, investments"/>
    <s v="Manufacturing"/>
    <x v="1"/>
    <x v="1"/>
    <s v="Rales"/>
    <s v="Mitchell"/>
    <n v="5500"/>
    <n v="1956"/>
    <n v="8"/>
    <n v="21"/>
    <n v="117.24"/>
    <n v="21427700000000"/>
    <n v="78.5"/>
    <n v="9.6"/>
    <n v="36.6"/>
    <n v="328239523"/>
    <x v="416"/>
    <d v="2025-12-27T00:00:00"/>
    <d v="1956-08-21T00:00:00"/>
  </r>
  <r>
    <n v="466"/>
    <x v="4"/>
    <x v="444"/>
    <s v="United States"/>
    <s v="East Hampton"/>
    <s v="Media, automotive"/>
    <s v="Media &amp; Entertainment"/>
    <x v="0"/>
    <x v="2"/>
    <s v="Rayner"/>
    <s v="Katharine"/>
    <n v="5500"/>
    <n v="1945"/>
    <n v="1"/>
    <n v="12"/>
    <n v="117.24"/>
    <n v="21427700000000"/>
    <n v="78.5"/>
    <n v="9.6"/>
    <n v="36.6"/>
    <n v="328239523"/>
    <x v="417"/>
    <d v="2025-12-27T00:00:00"/>
    <d v="1945-01-12T00:00:00"/>
  </r>
  <r>
    <n v="466"/>
    <x v="3"/>
    <x v="445"/>
    <s v="United States"/>
    <s v="New York"/>
    <s v="Hedge funds"/>
    <s v="Finance &amp; Investments"/>
    <x v="1"/>
    <x v="1"/>
    <s v="Singer"/>
    <s v="Paul"/>
    <n v="5500"/>
    <n v="1944"/>
    <n v="8"/>
    <n v="22"/>
    <n v="117.24"/>
    <n v="21427700000000"/>
    <n v="78.5"/>
    <n v="9.6"/>
    <n v="36.6"/>
    <n v="328239523"/>
    <x v="418"/>
    <d v="2025-12-27T00:00:00"/>
    <d v="1944-08-22T00:00:00"/>
  </r>
  <r>
    <n v="466"/>
    <x v="13"/>
    <x v="446"/>
    <s v="Italy"/>
    <s v="Venice"/>
    <s v="Medical packaging"/>
    <s v="Healthcare"/>
    <x v="1"/>
    <x v="1"/>
    <s v="Stevanato"/>
    <s v="Sergio"/>
    <n v="5500"/>
    <n v="1943"/>
    <n v="3"/>
    <n v="20"/>
    <n v="110.62"/>
    <n v="2001244392042"/>
    <n v="82.9"/>
    <n v="24.3"/>
    <n v="59.1"/>
    <n v="60297396"/>
    <x v="419"/>
    <d v="2025-12-27T00:00:00"/>
    <d v="1943-03-20T00:00:00"/>
  </r>
  <r>
    <n v="466"/>
    <x v="4"/>
    <x v="447"/>
    <s v="United States"/>
    <s v="Southampton"/>
    <s v="Media, automotive"/>
    <s v="Media &amp; Entertainment"/>
    <x v="0"/>
    <x v="2"/>
    <s v="Taylor"/>
    <s v="Margaretta"/>
    <n v="5500"/>
    <n v="1942"/>
    <n v="4"/>
    <n v="15"/>
    <n v="117.24"/>
    <n v="21427700000000"/>
    <n v="78.5"/>
    <n v="9.6"/>
    <n v="36.6"/>
    <n v="328239523"/>
    <x v="420"/>
    <d v="2025-12-27T00:00:00"/>
    <d v="1942-04-15T00:00:00"/>
  </r>
  <r>
    <n v="466"/>
    <x v="2"/>
    <x v="448"/>
    <s v="Australia"/>
    <s v="Sydney"/>
    <s v="Software"/>
    <s v="Technology"/>
    <x v="1"/>
    <x v="1"/>
    <s v="White"/>
    <s v="Richard"/>
    <n v="5500"/>
    <n v="1955"/>
    <n v="4"/>
    <n v="1"/>
    <n v="119.8"/>
    <n v="1392680589329"/>
    <n v="82.7"/>
    <n v="23"/>
    <n v="47.4"/>
    <n v="25766605"/>
    <x v="421"/>
    <d v="2025-12-27T00:00:00"/>
    <d v="1955-04-01T00:00:00"/>
  </r>
  <r>
    <n v="466"/>
    <x v="6"/>
    <x v="449"/>
    <s v="China"/>
    <s v="Beijing"/>
    <s v="Biotech"/>
    <s v="Diversified"/>
    <x v="1"/>
    <x v="2"/>
    <s v="Zhao"/>
    <s v="Yan"/>
    <n v="5500"/>
    <n v="1967"/>
    <n v="1"/>
    <n v="1"/>
    <n v="125.08"/>
    <n v="19910000000000"/>
    <n v="77"/>
    <n v="9.4"/>
    <n v="59.2"/>
    <n v="1397715000"/>
    <x v="106"/>
    <d v="2025-12-27T00:00:00"/>
    <d v="1967-01-01T00:00:00"/>
  </r>
  <r>
    <n v="486"/>
    <x v="0"/>
    <x v="450"/>
    <s v="Italy"/>
    <s v="Milan"/>
    <s v="Luxury goods"/>
    <s v="Fashion &amp; Retail"/>
    <x v="1"/>
    <x v="1"/>
    <s v="Bertelli"/>
    <s v="Patrizio"/>
    <n v="5400"/>
    <n v="1946"/>
    <n v="1"/>
    <n v="1"/>
    <n v="110.62"/>
    <n v="2001244392042"/>
    <n v="82.9"/>
    <n v="24.3"/>
    <n v="59.1"/>
    <n v="60297396"/>
    <x v="224"/>
    <d v="2025-12-27T00:00:00"/>
    <d v="1946-01-01T00:00:00"/>
  </r>
  <r>
    <n v="486"/>
    <x v="10"/>
    <x v="451"/>
    <s v="India"/>
    <s v="Mumbai"/>
    <s v="Paints"/>
    <s v="Manufacturing"/>
    <x v="0"/>
    <x v="1"/>
    <s v="Choksi"/>
    <s v="Mahendra"/>
    <n v="5400"/>
    <n v="1941"/>
    <n v="4"/>
    <n v="19"/>
    <n v="180.44"/>
    <n v="2611000000000"/>
    <n v="69.400000000000006"/>
    <n v="11.2"/>
    <n v="49.7"/>
    <n v="1366417754"/>
    <x v="422"/>
    <d v="2025-12-27T00:00:00"/>
    <d v="1941-04-19T00:00:00"/>
  </r>
  <r>
    <n v="486"/>
    <x v="3"/>
    <x v="452"/>
    <s v="United States"/>
    <s v="Bloomfield Hills"/>
    <s v="Mortgage lender"/>
    <s v="Finance &amp; Investments"/>
    <x v="0"/>
    <x v="1"/>
    <s v="Ishbia"/>
    <s v="Mat"/>
    <n v="5400"/>
    <n v="1980"/>
    <n v="1"/>
    <n v="6"/>
    <n v="117.24"/>
    <n v="21427700000000"/>
    <n v="78.5"/>
    <n v="9.6"/>
    <n v="36.6"/>
    <n v="328239523"/>
    <x v="423"/>
    <d v="2025-12-27T00:00:00"/>
    <d v="1980-01-06T00:00:00"/>
  </r>
  <r>
    <n v="486"/>
    <x v="2"/>
    <x v="453"/>
    <s v="Singapore"/>
    <s v="Singapore"/>
    <s v="IT provider"/>
    <s v="Technology"/>
    <x v="1"/>
    <x v="1"/>
    <s v="Koguan"/>
    <s v="Leo"/>
    <n v="5400"/>
    <n v="1955"/>
    <n v="2"/>
    <n v="15"/>
    <n v="114.41"/>
    <n v="372062527489"/>
    <n v="83.1"/>
    <n v="13.1"/>
    <n v="21"/>
    <n v="5703569"/>
    <x v="424"/>
    <d v="2025-12-27T00:00:00"/>
    <d v="1955-02-15T00:00:00"/>
  </r>
  <r>
    <n v="486"/>
    <x v="6"/>
    <x v="454"/>
    <s v="China"/>
    <s v="Suzhou"/>
    <s v="Textiles, petrochemicals"/>
    <s v="Diversified"/>
    <x v="1"/>
    <x v="1"/>
    <s v="Miao"/>
    <s v="Hangen"/>
    <n v="5400"/>
    <n v="1965"/>
    <n v="1"/>
    <n v="1"/>
    <n v="125.08"/>
    <n v="19910000000000"/>
    <n v="77"/>
    <n v="9.4"/>
    <n v="59.2"/>
    <n v="1397715000"/>
    <x v="362"/>
    <d v="2025-12-27T00:00:00"/>
    <d v="1965-01-01T00:00:00"/>
  </r>
  <r>
    <n v="486"/>
    <x v="10"/>
    <x v="455"/>
    <s v="Switzerland"/>
    <s v="Lucerne"/>
    <s v="Kitchen appliances"/>
    <s v="Manufacturing"/>
    <x v="1"/>
    <x v="1"/>
    <s v="Pieper"/>
    <s v="Michael"/>
    <n v="5400"/>
    <n v="1946"/>
    <n v="2"/>
    <n v="5"/>
    <n v="99.55"/>
    <n v="703082435360"/>
    <n v="83.6"/>
    <n v="10.1"/>
    <n v="28.8"/>
    <n v="8574832"/>
    <x v="425"/>
    <d v="2025-12-27T00:00:00"/>
    <d v="1946-02-05T00:00:00"/>
  </r>
  <r>
    <n v="486"/>
    <x v="0"/>
    <x v="456"/>
    <s v="Italy"/>
    <s v="Milan"/>
    <s v="Luxury goods"/>
    <s v="Fashion &amp; Retail"/>
    <x v="0"/>
    <x v="2"/>
    <s v="Prada"/>
    <s v="Miuccia"/>
    <n v="5400"/>
    <n v="1949"/>
    <n v="5"/>
    <n v="10"/>
    <n v="110.62"/>
    <n v="2001244392042"/>
    <n v="82.9"/>
    <n v="24.3"/>
    <n v="59.1"/>
    <n v="60297396"/>
    <x v="426"/>
    <d v="2025-12-27T00:00:00"/>
    <d v="1949-05-10T00:00:00"/>
  </r>
  <r>
    <n v="486"/>
    <x v="0"/>
    <x v="457"/>
    <s v="Germany"/>
    <s v="Passau"/>
    <s v="Consumer goods"/>
    <s v="Fashion &amp; Retail"/>
    <x v="0"/>
    <x v="1"/>
    <s v="Reimann"/>
    <s v="Wolfgang"/>
    <n v="5400"/>
    <n v="1952"/>
    <n v="10"/>
    <n v="4"/>
    <n v="112.85"/>
    <n v="3845630030824"/>
    <n v="80.900000000000006"/>
    <n v="11.5"/>
    <n v="48.8"/>
    <n v="83132799"/>
    <x v="427"/>
    <d v="2025-12-27T00:00:00"/>
    <d v="1952-10-04T00:00:00"/>
  </r>
  <r>
    <n v="486"/>
    <x v="0"/>
    <x v="458"/>
    <s v="Germany"/>
    <s v="Munich"/>
    <s v="Consumer goods"/>
    <s v="Fashion &amp; Retail"/>
    <x v="0"/>
    <x v="1"/>
    <s v="Reimann-Andersen"/>
    <s v="Matthias"/>
    <n v="5400"/>
    <n v="1965"/>
    <n v="3"/>
    <n v="30"/>
    <n v="112.85"/>
    <n v="3845630030824"/>
    <n v="80.900000000000006"/>
    <n v="11.5"/>
    <n v="48.8"/>
    <n v="83132799"/>
    <x v="428"/>
    <d v="2025-12-27T00:00:00"/>
    <d v="1965-03-30T00:00:00"/>
  </r>
  <r>
    <n v="486"/>
    <x v="0"/>
    <x v="459"/>
    <s v="Austria"/>
    <s v="Vienna"/>
    <s v="Consumer goods"/>
    <s v="Fashion &amp; Retail"/>
    <x v="0"/>
    <x v="1"/>
    <s v="Reimann-Andersen"/>
    <s v="Stefan"/>
    <n v="5400"/>
    <n v="1963"/>
    <n v="7"/>
    <n v="13"/>
    <n v="118.06"/>
    <n v="446314739528"/>
    <n v="81.599999999999994"/>
    <n v="25.4"/>
    <n v="51.4"/>
    <n v="8877067"/>
    <x v="429"/>
    <d v="2025-12-27T00:00:00"/>
    <d v="1963-07-13T00:00:00"/>
  </r>
  <r>
    <n v="486"/>
    <x v="0"/>
    <x v="460"/>
    <s v="Austria"/>
    <s v="Vienna"/>
    <s v="Consumer goods"/>
    <s v="Fashion &amp; Retail"/>
    <x v="0"/>
    <x v="2"/>
    <s v="Reimann-Haas"/>
    <s v="Renate"/>
    <n v="5400"/>
    <n v="1951"/>
    <n v="10"/>
    <n v="8"/>
    <n v="118.06"/>
    <n v="446314739528"/>
    <n v="81.599999999999994"/>
    <n v="25.4"/>
    <n v="51.4"/>
    <n v="8877067"/>
    <x v="430"/>
    <d v="2025-12-27T00:00:00"/>
    <d v="1951-10-08T00:00:00"/>
  </r>
  <r>
    <n v="497"/>
    <x v="3"/>
    <x v="461"/>
    <s v="United States"/>
    <s v="Darien"/>
    <s v="Finance"/>
    <s v="Finance &amp; Investments"/>
    <x v="1"/>
    <x v="1"/>
    <s v="Boehly"/>
    <s v="Todd"/>
    <n v="5300"/>
    <n v="1973"/>
    <n v="9"/>
    <n v="20"/>
    <n v="117.24"/>
    <n v="21427700000000"/>
    <n v="78.5"/>
    <n v="9.6"/>
    <n v="36.6"/>
    <n v="328239523"/>
    <x v="431"/>
    <d v="2025-12-27T00:00:00"/>
    <d v="1973-09-20T00:00:00"/>
  </r>
  <r>
    <n v="497"/>
    <x v="15"/>
    <x v="462"/>
    <s v="United States"/>
    <s v="Los Angeles"/>
    <s v="Real estate"/>
    <s v="Real Estate"/>
    <x v="1"/>
    <x v="1"/>
    <s v="Caruso"/>
    <s v="Rick"/>
    <n v="5300"/>
    <n v="1959"/>
    <n v="1"/>
    <n v="7"/>
    <n v="117.24"/>
    <n v="21427700000000"/>
    <n v="78.5"/>
    <n v="9.6"/>
    <n v="36.6"/>
    <n v="328239523"/>
    <x v="432"/>
    <d v="2025-12-27T00:00:00"/>
    <d v="1959-01-07T00:00:00"/>
  </r>
  <r>
    <n v="497"/>
    <x v="10"/>
    <x v="463"/>
    <s v="Turkey"/>
    <s v="Istanbul"/>
    <s v="Carpet"/>
    <s v="Manufacturing"/>
    <x v="1"/>
    <x v="1"/>
    <s v="Erdemoglu"/>
    <s v="Ibrahim"/>
    <n v="5300"/>
    <n v="1962"/>
    <n v="9"/>
    <n v="26"/>
    <n v="234.44"/>
    <n v="754411708203"/>
    <n v="77.400000000000006"/>
    <n v="17.899999999999999"/>
    <n v="42.3"/>
    <n v="83429615"/>
    <x v="433"/>
    <d v="2025-12-27T00:00:00"/>
    <d v="1962-09-26T00:00:00"/>
  </r>
  <r>
    <n v="497"/>
    <x v="3"/>
    <x v="464"/>
    <s v="United States"/>
    <s v="Boston"/>
    <s v="Fidelity"/>
    <s v="Finance &amp; Investments"/>
    <x v="0"/>
    <x v="2"/>
    <s v="Johnson"/>
    <s v="Elizabeth"/>
    <n v="5300"/>
    <n v="1963"/>
    <n v="5"/>
    <n v="7"/>
    <n v="117.24"/>
    <n v="21427700000000"/>
    <n v="78.5"/>
    <n v="9.6"/>
    <n v="36.6"/>
    <n v="328239523"/>
    <x v="434"/>
    <d v="2025-12-27T00:00:00"/>
    <d v="1963-05-07T00:00:00"/>
  </r>
  <r>
    <n v="497"/>
    <x v="3"/>
    <x v="465"/>
    <s v="United States"/>
    <s v="Atherton"/>
    <s v="Venture capital"/>
    <s v="Finance &amp; Investments"/>
    <x v="1"/>
    <x v="1"/>
    <s v="Leone"/>
    <s v="Douglas"/>
    <n v="5300"/>
    <n v="1957"/>
    <n v="7"/>
    <n v="4"/>
    <n v="117.24"/>
    <n v="21427700000000"/>
    <n v="78.5"/>
    <n v="9.6"/>
    <n v="36.6"/>
    <n v="328239523"/>
    <x v="435"/>
    <d v="2025-12-27T00:00:00"/>
    <d v="1957-07-04T00:00:00"/>
  </r>
  <r>
    <n v="497"/>
    <x v="6"/>
    <x v="466"/>
    <s v="Indonesia"/>
    <s v="Jakarta"/>
    <s v="Petrochemicals"/>
    <s v="Diversified"/>
    <x v="0"/>
    <x v="1"/>
    <s v="Pangestu"/>
    <s v="Prajogo"/>
    <n v="5300"/>
    <n v="1944"/>
    <n v="5"/>
    <n v="13"/>
    <n v="151.18"/>
    <n v="1119190780753"/>
    <n v="71.5"/>
    <n v="10.199999999999999"/>
    <n v="30.1"/>
    <n v="270203917"/>
    <x v="436"/>
    <d v="2025-12-27T00:00:00"/>
    <d v="1944-05-13T00:00:00"/>
  </r>
  <r>
    <n v="497"/>
    <x v="3"/>
    <x v="467"/>
    <s v="United States"/>
    <s v="Chicago"/>
    <s v="Hotels, investments"/>
    <s v="Finance &amp; Investments"/>
    <x v="0"/>
    <x v="1"/>
    <s v="Pritzker"/>
    <s v="Thomas"/>
    <n v="5300"/>
    <n v="1950"/>
    <n v="6"/>
    <n v="6"/>
    <n v="117.24"/>
    <n v="21427700000000"/>
    <n v="78.5"/>
    <n v="9.6"/>
    <n v="36.6"/>
    <n v="328239523"/>
    <x v="437"/>
    <d v="2025-12-27T00:00:00"/>
    <d v="1950-06-06T00:00:00"/>
  </r>
  <r>
    <n v="497"/>
    <x v="7"/>
    <x v="468"/>
    <s v="United States"/>
    <s v="Beverly Hills"/>
    <s v="Agriculture"/>
    <s v="Food &amp; Beverage"/>
    <x v="1"/>
    <x v="2"/>
    <s v="Resnick"/>
    <s v="Lynda"/>
    <n v="5300"/>
    <n v="1943"/>
    <n v="1"/>
    <n v="2"/>
    <n v="117.24"/>
    <n v="21427700000000"/>
    <n v="78.5"/>
    <n v="9.6"/>
    <n v="36.6"/>
    <n v="328239523"/>
    <x v="438"/>
    <d v="2025-12-27T00:00:00"/>
    <d v="1943-01-02T00:00:00"/>
  </r>
  <r>
    <n v="497"/>
    <x v="7"/>
    <x v="469"/>
    <s v="United States"/>
    <s v="Beverly Hills"/>
    <s v="Agriculture"/>
    <s v="Food &amp; Beverage"/>
    <x v="1"/>
    <x v="1"/>
    <s v="Resnick"/>
    <s v="Stewart"/>
    <n v="5300"/>
    <n v="1936"/>
    <n v="12"/>
    <n v="24"/>
    <n v="117.24"/>
    <n v="21427700000000"/>
    <n v="78.5"/>
    <n v="9.6"/>
    <n v="36.6"/>
    <n v="328239523"/>
    <x v="439"/>
    <d v="2025-12-27T00:00:00"/>
    <d v="1936-12-24T00:00:00"/>
  </r>
  <r>
    <n v="497"/>
    <x v="14"/>
    <x v="470"/>
    <s v="United States"/>
    <s v="Atlanta"/>
    <s v="Pest control"/>
    <s v="Service"/>
    <x v="0"/>
    <x v="1"/>
    <s v="Rollins"/>
    <s v="Gary"/>
    <n v="5300"/>
    <n v="1944"/>
    <n v="8"/>
    <n v="30"/>
    <n v="117.24"/>
    <n v="21427700000000"/>
    <n v="78.5"/>
    <n v="9.6"/>
    <n v="36.6"/>
    <n v="328239523"/>
    <x v="440"/>
    <d v="2025-12-27T00:00:00"/>
    <d v="1944-08-30T00:00:00"/>
  </r>
  <r>
    <n v="497"/>
    <x v="3"/>
    <x v="471"/>
    <s v="United States"/>
    <s v="Chicago"/>
    <s v="Finance, asset management"/>
    <s v="Finance &amp; Investments"/>
    <x v="1"/>
    <x v="1"/>
    <s v="Walter"/>
    <s v="Mark"/>
    <n v="5300"/>
    <n v="1960"/>
    <n v="5"/>
    <n v="22"/>
    <n v="117.24"/>
    <n v="21427700000000"/>
    <n v="78.5"/>
    <n v="9.6"/>
    <n v="36.6"/>
    <n v="328239523"/>
    <x v="441"/>
    <d v="2025-12-27T00:00:00"/>
    <d v="1960-05-22T00:00:00"/>
  </r>
  <r>
    <n v="497"/>
    <x v="10"/>
    <x v="472"/>
    <s v="United States"/>
    <s v="Saint Petersburg"/>
    <s v="Furniture"/>
    <s v="Manufacturing"/>
    <x v="1"/>
    <x v="1"/>
    <s v="Wanek"/>
    <s v="Ronald"/>
    <n v="5300"/>
    <n v="1941"/>
    <n v="5"/>
    <n v="19"/>
    <n v="117.24"/>
    <n v="21427700000000"/>
    <n v="78.5"/>
    <n v="9.6"/>
    <n v="36.6"/>
    <n v="328239523"/>
    <x v="442"/>
    <d v="2025-12-27T00:00:00"/>
    <d v="1941-05-19T00:00:00"/>
  </r>
  <r>
    <n v="497"/>
    <x v="7"/>
    <x v="473"/>
    <s v="Germany"/>
    <s v="Visbek"/>
    <s v="Poultry genetics"/>
    <s v="Food &amp; Beverage"/>
    <x v="1"/>
    <x v="1"/>
    <s v="Wesjohann"/>
    <s v="Erich"/>
    <n v="5300"/>
    <n v="1945"/>
    <n v="6"/>
    <n v="2"/>
    <n v="112.85"/>
    <n v="3845630030824"/>
    <n v="80.900000000000006"/>
    <n v="11.5"/>
    <n v="48.8"/>
    <n v="83132799"/>
    <x v="443"/>
    <d v="2025-12-27T00:00:00"/>
    <d v="1945-06-02T00:00:00"/>
  </r>
  <r>
    <n v="497"/>
    <x v="0"/>
    <x v="474"/>
    <s v="United Arab Emirates"/>
    <s v="Abu Dhabi"/>
    <s v="Retail"/>
    <s v="Fashion &amp; Retail"/>
    <x v="1"/>
    <x v="1"/>
    <s v="Yusuff Ali"/>
    <s v="M.A."/>
    <n v="5300"/>
    <n v="1955"/>
    <n v="11"/>
    <n v="15"/>
    <n v="114.52"/>
    <n v="421142267938"/>
    <n v="77.8"/>
    <n v="0.1"/>
    <n v="15.9"/>
    <n v="9770529"/>
    <x v="444"/>
    <d v="2025-12-27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9057C-6C83-4942-A399-FB94254930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6" firstHeaderRow="1" firstDataRow="1" firstDataCol="1"/>
  <pivotFields count="24">
    <pivotField showAll="0"/>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55457-C4AF-4F82-BABB-E4A82F0158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4">
    <pivotField showAll="0"/>
    <pivotField showAll="0">
      <items count="19">
        <item h="1" x="1"/>
        <item h="1" x="16"/>
        <item h="1" x="6"/>
        <item h="1" x="12"/>
        <item h="1" x="0"/>
        <item h="1" x="3"/>
        <item h="1" x="7"/>
        <item h="1" x="9"/>
        <item x="13"/>
        <item h="1" x="8"/>
        <item h="1" x="10"/>
        <item h="1" x="4"/>
        <item h="1" x="11"/>
        <item h="1" x="15"/>
        <item h="1" x="14"/>
        <item h="1" x="17"/>
        <item h="1" x="2"/>
        <item h="1"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h="1" x="0"/>
        <item x="1"/>
        <item t="default"/>
      </items>
    </pivotField>
    <pivotField showAll="0">
      <items count="4">
        <item h="1" x="2"/>
        <item x="1"/>
        <item h="1" x="0"/>
        <item t="default"/>
      </items>
    </pivotField>
    <pivotField showAll="0"/>
    <pivotField showAll="0"/>
    <pivotField dataField="1" showAll="0"/>
    <pivotField showAll="0"/>
    <pivotField showAll="0"/>
    <pivotField showAll="0"/>
    <pivotField showAll="0"/>
    <pivotField numFmtId="1"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11">
    <i>
      <x v="418"/>
    </i>
    <i>
      <x v="244"/>
    </i>
    <i>
      <x v="90"/>
    </i>
    <i>
      <x v="461"/>
    </i>
    <i>
      <x v="60"/>
    </i>
    <i>
      <x v="185"/>
    </i>
    <i>
      <x v="423"/>
    </i>
    <i>
      <x v="15"/>
    </i>
    <i>
      <x v="406"/>
    </i>
    <i>
      <x v="347"/>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B9DA11-8CED-4E4F-9434-9A26A52A5AB2}" sourceName="category">
  <pivotTables>
    <pivotTable tabId="5" name="PivotTable1"/>
  </pivotTables>
  <data>
    <tabular pivotCacheId="1592062056">
      <items count="18">
        <i x="1"/>
        <i x="6"/>
        <i x="12"/>
        <i x="0"/>
        <i x="3"/>
        <i x="7"/>
        <i x="9"/>
        <i x="13" s="1"/>
        <i x="8"/>
        <i x="10"/>
        <i x="4"/>
        <i x="11"/>
        <i x="15"/>
        <i x="14"/>
        <i x="17"/>
        <i x="2"/>
        <i x="5"/>
        <i x="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065E1DE5-66E5-40AC-A502-F007FB65ED22}" sourceName="selfMade">
  <pivotTables>
    <pivotTable tabId="5" name="PivotTable1"/>
  </pivotTables>
  <data>
    <tabular pivotCacheId="1592062056">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25D732-55B4-4B5C-9303-FC26E9186117}" sourceName="gender">
  <pivotTables>
    <pivotTable tabId="5" name="PivotTable1"/>
  </pivotTables>
  <data>
    <tabular pivotCacheId="1592062056">
      <items count="3">
        <i x="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F42774-8801-4E90-B250-6D7DF188EFE5}" cache="Slicer_category" caption="category" rowHeight="260350"/>
  <slicer name="selfMade" xr10:uid="{2529D573-00D5-4FE5-ABE7-9B7DF1A185C3}" cache="Slicer_selfMade" caption="selfMade" rowHeight="260350"/>
  <slicer name="gender" xr10:uid="{FAD05E49-44C9-40A9-9530-81429741A46C}"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276BB2-5916-4471-B56C-8B1A62CC21C3}" name="Table1" displayName="Table1" ref="A3:X7" totalsRowShown="0">
  <autoFilter ref="A3:X7" xr:uid="{15276BB2-5916-4471-B56C-8B1A62CC21C3}"/>
  <tableColumns count="24">
    <tableColumn id="1" xr3:uid="{0CBF9E49-EF7E-48AE-A856-6E874536CC5C}" name="rank"/>
    <tableColumn id="2" xr3:uid="{BF8EF260-613E-46F1-855A-0B1D32A84389}" name="category"/>
    <tableColumn id="3" xr3:uid="{A145B016-CEBF-4178-AD8B-2EE43C85C630}" name="personName"/>
    <tableColumn id="4" xr3:uid="{541915ED-F9A2-4945-AE4D-A8D4EAB05012}" name="country"/>
    <tableColumn id="5" xr3:uid="{06BCCC3E-97D3-4DB6-849B-2ABA5B0D281F}" name="city"/>
    <tableColumn id="6" xr3:uid="{F5124E00-E9E7-4D6E-B04E-8E3D6C4EFB9B}" name="source"/>
    <tableColumn id="7" xr3:uid="{DC62C457-F79C-40B9-BF92-D5A691802E86}" name="industries"/>
    <tableColumn id="8" xr3:uid="{0DF52EF7-3FF0-486A-B437-679300118881}" name="selfMade"/>
    <tableColumn id="9" xr3:uid="{3A70C964-2804-4734-9164-4A056AB05987}" name="gender"/>
    <tableColumn id="10" xr3:uid="{0900338B-D9F2-4CCF-819B-FD7D20147A64}" name="lastName"/>
    <tableColumn id="11" xr3:uid="{6F192AB0-CEFC-4ECF-BD8A-BBF11F86490B}" name="firstName"/>
    <tableColumn id="12" xr3:uid="{6D12F80F-8183-425E-8DE8-2EE56F40CEC3}" name="finalWorth"/>
    <tableColumn id="13" xr3:uid="{7E7FE004-EEF2-4A19-89B2-9E9BE7FC28A5}" name="birthYear"/>
    <tableColumn id="14" xr3:uid="{48C1B1AA-82B0-482E-AECF-99C4DE61F9E4}" name="birthMonth"/>
    <tableColumn id="15" xr3:uid="{3FB16AD3-AFBA-4DA2-90E3-F60A3F4FE9C8}" name="birthDay"/>
    <tableColumn id="16" xr3:uid="{9D57529E-28FD-4F00-9B9A-6712920BF804}" name="cpi_country"/>
    <tableColumn id="17" xr3:uid="{C0DB1628-E57F-4B56-9596-22A5562E5812}" name="gdp_country"/>
    <tableColumn id="18" xr3:uid="{A1448019-E611-47B1-A412-2E2EA5B66157}" name="life_expectancy_country"/>
    <tableColumn id="19" xr3:uid="{CB9E5897-AAAC-478B-9CC1-995F7A011688}" name="tax_revenue_country_country"/>
    <tableColumn id="20" xr3:uid="{E850E97E-1F9D-4BD6-82EF-C9387F4A4A73}" name="total_tax_rate_country"/>
    <tableColumn id="21" xr3:uid="{38474115-E000-4446-92FC-AA51CB4E4A7A}" name="population_country"/>
    <tableColumn id="22" xr3:uid="{4C996E35-C35D-40D8-8796-D23782E73F20}" name="Age"/>
    <tableColumn id="23" xr3:uid="{ECB6ED45-E6F4-4013-A54A-50BEE2732962}" name="Current Date" dataDxfId="1"/>
    <tableColumn id="24" xr3:uid="{3C4379B9-E8AF-4980-8ED1-08DE29AA40D7}" name="Birth Da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B14616-C137-4FFD-9183-66BC2B656700}">
  <we:reference id="wa200005271" version="2.5.5.0" store="en-US"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28F0-2590-4F13-AD66-B9233B711536}">
  <dimension ref="A1:V15"/>
  <sheetViews>
    <sheetView workbookViewId="0">
      <selection activeCell="H19" sqref="H19"/>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1.8984375" bestFit="1" customWidth="1"/>
    <col min="11" max="11" width="17.19921875" bestFit="1" customWidth="1"/>
    <col min="12" max="12" width="12.5" bestFit="1" customWidth="1"/>
    <col min="13" max="13" width="17.19921875" bestFit="1" customWidth="1"/>
    <col min="14" max="14" width="12.5" bestFit="1" customWidth="1"/>
    <col min="15" max="15" width="17.19921875" bestFit="1" customWidth="1"/>
    <col min="16" max="16" width="11.8984375" bestFit="1" customWidth="1"/>
    <col min="17" max="17" width="17.19921875" bestFit="1" customWidth="1"/>
    <col min="18" max="18" width="11.8984375" bestFit="1" customWidth="1"/>
    <col min="19" max="19" width="17.19921875" bestFit="1" customWidth="1"/>
    <col min="20" max="20" width="11.8984375" bestFit="1" customWidth="1"/>
    <col min="21" max="21" width="17.19921875" bestFit="1" customWidth="1"/>
    <col min="22" max="22" width="12.5" bestFit="1" customWidth="1"/>
  </cols>
  <sheetData>
    <row r="1" spans="1:22" x14ac:dyDescent="0.3">
      <c r="A1" s="7" t="s">
        <v>1</v>
      </c>
      <c r="B1" s="7"/>
      <c r="C1" s="7" t="s">
        <v>12</v>
      </c>
      <c r="D1" s="7"/>
      <c r="E1" s="7" t="s">
        <v>13</v>
      </c>
      <c r="F1" s="7"/>
      <c r="G1" s="7" t="s">
        <v>14</v>
      </c>
      <c r="H1" s="7"/>
      <c r="I1" s="7" t="s">
        <v>15</v>
      </c>
      <c r="J1" s="7"/>
      <c r="K1" s="7" t="s">
        <v>16</v>
      </c>
      <c r="L1" s="7"/>
      <c r="M1" s="7" t="s">
        <v>17</v>
      </c>
      <c r="N1" s="7"/>
      <c r="O1" s="7" t="s">
        <v>18</v>
      </c>
      <c r="P1" s="7"/>
      <c r="Q1" s="7" t="s">
        <v>19</v>
      </c>
      <c r="R1" s="7"/>
      <c r="S1" s="7" t="s">
        <v>20</v>
      </c>
      <c r="T1" s="7"/>
      <c r="U1" s="7" t="s">
        <v>1799</v>
      </c>
      <c r="V1" s="7"/>
    </row>
    <row r="3" spans="1:22" x14ac:dyDescent="0.3">
      <c r="A3" t="s">
        <v>1802</v>
      </c>
      <c r="B3">
        <v>14821.894736842105</v>
      </c>
      <c r="C3" t="s">
        <v>1802</v>
      </c>
      <c r="D3">
        <v>1955.1073684210526</v>
      </c>
      <c r="E3" t="s">
        <v>1802</v>
      </c>
      <c r="F3">
        <v>5.8863157894736844</v>
      </c>
      <c r="G3" t="s">
        <v>1802</v>
      </c>
      <c r="H3">
        <v>13.063157894736841</v>
      </c>
      <c r="I3" t="s">
        <v>1802</v>
      </c>
      <c r="J3">
        <v>124.63644210526323</v>
      </c>
      <c r="K3" t="s">
        <v>1802</v>
      </c>
      <c r="L3">
        <v>12426195815316.264</v>
      </c>
      <c r="M3" t="s">
        <v>1802</v>
      </c>
      <c r="N3">
        <v>78.358315789473693</v>
      </c>
      <c r="O3" t="s">
        <v>1802</v>
      </c>
      <c r="P3">
        <v>12.719368421052652</v>
      </c>
      <c r="Q3" t="s">
        <v>1802</v>
      </c>
      <c r="R3">
        <v>42.056421052631599</v>
      </c>
      <c r="S3" t="s">
        <v>1802</v>
      </c>
      <c r="T3">
        <v>429352798.16000003</v>
      </c>
      <c r="U3" t="s">
        <v>1802</v>
      </c>
      <c r="V3">
        <v>70.440525383144831</v>
      </c>
    </row>
    <row r="4" spans="1:22" x14ac:dyDescent="0.3">
      <c r="A4" t="s">
        <v>1803</v>
      </c>
      <c r="B4">
        <v>915.05728495730762</v>
      </c>
      <c r="C4" t="s">
        <v>1803</v>
      </c>
      <c r="D4">
        <v>0.60964752546853729</v>
      </c>
      <c r="E4" t="s">
        <v>1803</v>
      </c>
      <c r="F4">
        <v>0.16318859539374939</v>
      </c>
      <c r="G4" t="s">
        <v>1803</v>
      </c>
      <c r="H4">
        <v>0.44731342165609528</v>
      </c>
      <c r="I4" t="s">
        <v>1803</v>
      </c>
      <c r="J4">
        <v>1.1309202808822196</v>
      </c>
      <c r="K4" t="s">
        <v>1803</v>
      </c>
      <c r="L4">
        <v>441174628973.72961</v>
      </c>
      <c r="M4" t="s">
        <v>1803</v>
      </c>
      <c r="N4">
        <v>0.17743420962673864</v>
      </c>
      <c r="O4" t="s">
        <v>1803</v>
      </c>
      <c r="P4">
        <v>0.28229872220156371</v>
      </c>
      <c r="Q4" t="s">
        <v>1803</v>
      </c>
      <c r="R4">
        <v>0.52035395082224922</v>
      </c>
      <c r="S4" t="s">
        <v>1803</v>
      </c>
      <c r="T4">
        <v>22526024.244541854</v>
      </c>
      <c r="U4" t="s">
        <v>1803</v>
      </c>
      <c r="V4">
        <v>0.60959620939820536</v>
      </c>
    </row>
    <row r="5" spans="1:22" x14ac:dyDescent="0.3">
      <c r="A5" t="s">
        <v>1804</v>
      </c>
      <c r="B5">
        <v>8200</v>
      </c>
      <c r="C5" t="s">
        <v>1804</v>
      </c>
      <c r="D5">
        <v>1955</v>
      </c>
      <c r="E5" t="s">
        <v>1804</v>
      </c>
      <c r="F5">
        <v>6</v>
      </c>
      <c r="G5" t="s">
        <v>1804</v>
      </c>
      <c r="H5">
        <v>12</v>
      </c>
      <c r="I5" t="s">
        <v>1804</v>
      </c>
      <c r="J5">
        <v>117.24</v>
      </c>
      <c r="K5" t="s">
        <v>1804</v>
      </c>
      <c r="L5">
        <v>19910000000000</v>
      </c>
      <c r="M5" t="s">
        <v>1804</v>
      </c>
      <c r="N5">
        <v>78.5</v>
      </c>
      <c r="O5" t="s">
        <v>1804</v>
      </c>
      <c r="P5">
        <v>9.6</v>
      </c>
      <c r="Q5" t="s">
        <v>1804</v>
      </c>
      <c r="R5">
        <v>36.6</v>
      </c>
      <c r="S5" t="s">
        <v>1804</v>
      </c>
      <c r="T5">
        <v>328239523</v>
      </c>
      <c r="U5" t="s">
        <v>1804</v>
      </c>
      <c r="V5">
        <v>70.378513862646045</v>
      </c>
    </row>
    <row r="6" spans="1:22" x14ac:dyDescent="0.3">
      <c r="A6" t="s">
        <v>1805</v>
      </c>
      <c r="B6">
        <v>6700</v>
      </c>
      <c r="C6" t="s">
        <v>1805</v>
      </c>
      <c r="D6">
        <v>1964</v>
      </c>
      <c r="E6" t="s">
        <v>1805</v>
      </c>
      <c r="F6">
        <v>1</v>
      </c>
      <c r="G6" t="s">
        <v>1805</v>
      </c>
      <c r="H6">
        <v>1</v>
      </c>
      <c r="I6" t="s">
        <v>1805</v>
      </c>
      <c r="J6">
        <v>117.24</v>
      </c>
      <c r="K6" t="s">
        <v>1805</v>
      </c>
      <c r="L6">
        <v>21427700000000</v>
      </c>
      <c r="M6" t="s">
        <v>1805</v>
      </c>
      <c r="N6">
        <v>78.5</v>
      </c>
      <c r="O6" t="s">
        <v>1805</v>
      </c>
      <c r="P6">
        <v>9.6</v>
      </c>
      <c r="Q6" t="s">
        <v>1805</v>
      </c>
      <c r="R6">
        <v>36.6</v>
      </c>
      <c r="S6" t="s">
        <v>1805</v>
      </c>
      <c r="T6">
        <v>328239523</v>
      </c>
      <c r="U6" t="s">
        <v>1805</v>
      </c>
      <c r="V6">
        <v>61.986311048308757</v>
      </c>
    </row>
    <row r="7" spans="1:22" x14ac:dyDescent="0.3">
      <c r="A7" t="s">
        <v>1806</v>
      </c>
      <c r="B7">
        <v>19943.211163398028</v>
      </c>
      <c r="C7" t="s">
        <v>1806</v>
      </c>
      <c r="D7">
        <v>13.286959773484966</v>
      </c>
      <c r="E7" t="s">
        <v>1806</v>
      </c>
      <c r="F7">
        <v>3.5566129802985036</v>
      </c>
      <c r="G7" t="s">
        <v>1806</v>
      </c>
      <c r="H7">
        <v>9.7489700054415884</v>
      </c>
      <c r="I7" t="s">
        <v>1806</v>
      </c>
      <c r="J7">
        <v>24.647836087831148</v>
      </c>
      <c r="K7" t="s">
        <v>1806</v>
      </c>
      <c r="L7">
        <v>9615178120752.6934</v>
      </c>
      <c r="M7" t="s">
        <v>1806</v>
      </c>
      <c r="N7">
        <v>3.8670889444498275</v>
      </c>
      <c r="O7" t="s">
        <v>1806</v>
      </c>
      <c r="P7">
        <v>6.1525580098363912</v>
      </c>
      <c r="Q7" t="s">
        <v>1806</v>
      </c>
      <c r="R7">
        <v>11.340851432531588</v>
      </c>
      <c r="S7" t="s">
        <v>1806</v>
      </c>
      <c r="T7">
        <v>490943316.40852547</v>
      </c>
      <c r="U7" t="s">
        <v>1806</v>
      </c>
      <c r="V7">
        <v>13.285841365661184</v>
      </c>
    </row>
    <row r="8" spans="1:22" x14ac:dyDescent="0.3">
      <c r="A8" t="s">
        <v>1807</v>
      </c>
      <c r="B8">
        <v>397731671.50788367</v>
      </c>
      <c r="C8" t="s">
        <v>1807</v>
      </c>
      <c r="D8">
        <v>176.54330002220766</v>
      </c>
      <c r="E8" t="s">
        <v>1807</v>
      </c>
      <c r="F8">
        <v>12.649495891627803</v>
      </c>
      <c r="G8" t="s">
        <v>1807</v>
      </c>
      <c r="H8">
        <v>95.042416166999772</v>
      </c>
      <c r="I8" t="s">
        <v>1807</v>
      </c>
      <c r="J8">
        <v>607.51582381259141</v>
      </c>
      <c r="K8" t="s">
        <v>1807</v>
      </c>
      <c r="L8">
        <v>9.2451650293801309E+25</v>
      </c>
      <c r="M8" t="s">
        <v>1807</v>
      </c>
      <c r="N8">
        <v>14.954376904286082</v>
      </c>
      <c r="O8" t="s">
        <v>1807</v>
      </c>
      <c r="P8">
        <v>37.853970064401935</v>
      </c>
      <c r="Q8" t="s">
        <v>1807</v>
      </c>
      <c r="R8">
        <v>128.61491121475379</v>
      </c>
      <c r="S8" t="s">
        <v>1807</v>
      </c>
      <c r="T8">
        <v>2.4102533992620154E+17</v>
      </c>
      <c r="U8" t="s">
        <v>1807</v>
      </c>
      <c r="V8">
        <v>176.51358079351385</v>
      </c>
    </row>
    <row r="9" spans="1:22" x14ac:dyDescent="0.3">
      <c r="A9" t="s">
        <v>1808</v>
      </c>
      <c r="B9">
        <v>34.182611944135424</v>
      </c>
      <c r="C9" t="s">
        <v>1808</v>
      </c>
      <c r="D9">
        <v>-0.44339202271086986</v>
      </c>
      <c r="E9" t="s">
        <v>1808</v>
      </c>
      <c r="F9">
        <v>-1.2948846253259103</v>
      </c>
      <c r="G9" t="s">
        <v>1808</v>
      </c>
      <c r="H9">
        <v>-1.2882866459622426</v>
      </c>
      <c r="I9" t="s">
        <v>1808</v>
      </c>
      <c r="J9">
        <v>14.969591625825194</v>
      </c>
      <c r="K9" t="s">
        <v>1808</v>
      </c>
      <c r="L9">
        <v>-1.9173646589606008</v>
      </c>
      <c r="M9" t="s">
        <v>1808</v>
      </c>
      <c r="N9">
        <v>9.4081487353996529</v>
      </c>
      <c r="O9" t="s">
        <v>1808</v>
      </c>
      <c r="P9">
        <v>1.3298645975053689</v>
      </c>
      <c r="Q9" t="s">
        <v>1808</v>
      </c>
      <c r="R9">
        <v>-0.78535606952345471</v>
      </c>
      <c r="S9" t="s">
        <v>1808</v>
      </c>
      <c r="T9">
        <v>5.1729365975950348E-2</v>
      </c>
      <c r="U9" t="s">
        <v>1808</v>
      </c>
      <c r="V9">
        <v>-0.43814109874009954</v>
      </c>
    </row>
    <row r="10" spans="1:22" x14ac:dyDescent="0.3">
      <c r="A10" t="s">
        <v>1809</v>
      </c>
      <c r="B10">
        <v>5.0265705828228562</v>
      </c>
      <c r="C10" t="s">
        <v>1809</v>
      </c>
      <c r="D10">
        <v>0.12249927472149394</v>
      </c>
      <c r="E10" t="s">
        <v>1809</v>
      </c>
      <c r="F10">
        <v>6.1012095348729464E-2</v>
      </c>
      <c r="G10" t="s">
        <v>1809</v>
      </c>
      <c r="H10">
        <v>0.22457452046808007</v>
      </c>
      <c r="I10" t="s">
        <v>1809</v>
      </c>
      <c r="J10">
        <v>3.4668002006083132</v>
      </c>
      <c r="K10" t="s">
        <v>1809</v>
      </c>
      <c r="L10">
        <v>-0.22993289038402898</v>
      </c>
      <c r="M10" t="s">
        <v>1809</v>
      </c>
      <c r="N10">
        <v>-2.1553095031055305</v>
      </c>
      <c r="O10" t="s">
        <v>1809</v>
      </c>
      <c r="P10">
        <v>1.4692122796648146</v>
      </c>
      <c r="Q10" t="s">
        <v>1809</v>
      </c>
      <c r="R10">
        <v>0.271850332451748</v>
      </c>
      <c r="S10" t="s">
        <v>1809</v>
      </c>
      <c r="T10">
        <v>1.2987475637233723</v>
      </c>
      <c r="U10" t="s">
        <v>1809</v>
      </c>
      <c r="V10">
        <v>-0.12171582958613833</v>
      </c>
    </row>
    <row r="11" spans="1:22" x14ac:dyDescent="0.3">
      <c r="A11" t="s">
        <v>1810</v>
      </c>
      <c r="B11">
        <v>205700</v>
      </c>
      <c r="C11" t="s">
        <v>1810</v>
      </c>
      <c r="D11">
        <v>66</v>
      </c>
      <c r="E11" t="s">
        <v>1810</v>
      </c>
      <c r="F11">
        <v>11</v>
      </c>
      <c r="G11" t="s">
        <v>1810</v>
      </c>
      <c r="H11">
        <v>30</v>
      </c>
      <c r="I11" t="s">
        <v>1810</v>
      </c>
      <c r="J11">
        <v>189.01999999999998</v>
      </c>
      <c r="K11" t="s">
        <v>1810</v>
      </c>
      <c r="L11">
        <v>21273918930882</v>
      </c>
      <c r="M11" t="s">
        <v>1810</v>
      </c>
      <c r="N11">
        <v>29.900000000000006</v>
      </c>
      <c r="O11" t="s">
        <v>1810</v>
      </c>
      <c r="P11">
        <v>32.299999999999997</v>
      </c>
      <c r="Q11" t="s">
        <v>1810</v>
      </c>
      <c r="R11">
        <v>55.300000000000004</v>
      </c>
      <c r="S11" t="s">
        <v>1810</v>
      </c>
      <c r="T11">
        <v>1392874000</v>
      </c>
      <c r="U11" t="s">
        <v>1810</v>
      </c>
      <c r="V11">
        <v>65.811073745550843</v>
      </c>
    </row>
    <row r="12" spans="1:22" x14ac:dyDescent="0.3">
      <c r="A12" t="s">
        <v>1811</v>
      </c>
      <c r="B12">
        <v>5300</v>
      </c>
      <c r="C12" t="s">
        <v>1811</v>
      </c>
      <c r="D12">
        <v>1926</v>
      </c>
      <c r="E12" t="s">
        <v>1811</v>
      </c>
      <c r="F12">
        <v>1</v>
      </c>
      <c r="G12" t="s">
        <v>1811</v>
      </c>
      <c r="H12">
        <v>1</v>
      </c>
      <c r="I12" t="s">
        <v>1811</v>
      </c>
      <c r="J12">
        <v>99.55</v>
      </c>
      <c r="K12" t="s">
        <v>1811</v>
      </c>
      <c r="L12">
        <v>153781069118</v>
      </c>
      <c r="M12" t="s">
        <v>1811</v>
      </c>
      <c r="N12">
        <v>54.3</v>
      </c>
      <c r="O12" t="s">
        <v>1811</v>
      </c>
      <c r="P12">
        <v>0.1</v>
      </c>
      <c r="Q12" t="s">
        <v>1811</v>
      </c>
      <c r="R12">
        <v>15.9</v>
      </c>
      <c r="S12" t="s">
        <v>1811</v>
      </c>
      <c r="T12">
        <v>4841000</v>
      </c>
      <c r="U12" t="s">
        <v>1811</v>
      </c>
      <c r="V12">
        <v>33.638618246235609</v>
      </c>
    </row>
    <row r="13" spans="1:22" x14ac:dyDescent="0.3">
      <c r="A13" t="s">
        <v>1812</v>
      </c>
      <c r="B13">
        <v>211000</v>
      </c>
      <c r="C13" t="s">
        <v>1812</v>
      </c>
      <c r="D13">
        <v>1992</v>
      </c>
      <c r="E13" t="s">
        <v>1812</v>
      </c>
      <c r="F13">
        <v>12</v>
      </c>
      <c r="G13" t="s">
        <v>1812</v>
      </c>
      <c r="H13">
        <v>31</v>
      </c>
      <c r="I13" t="s">
        <v>1812</v>
      </c>
      <c r="J13">
        <v>288.57</v>
      </c>
      <c r="K13" t="s">
        <v>1812</v>
      </c>
      <c r="L13">
        <v>21427700000000</v>
      </c>
      <c r="M13" t="s">
        <v>1812</v>
      </c>
      <c r="N13">
        <v>84.2</v>
      </c>
      <c r="O13" t="s">
        <v>1812</v>
      </c>
      <c r="P13">
        <v>32.4</v>
      </c>
      <c r="Q13" t="s">
        <v>1812</v>
      </c>
      <c r="R13">
        <v>71.2</v>
      </c>
      <c r="S13" t="s">
        <v>1812</v>
      </c>
      <c r="T13">
        <v>1397715000</v>
      </c>
      <c r="U13" t="s">
        <v>1812</v>
      </c>
      <c r="V13">
        <v>99.449691991786452</v>
      </c>
    </row>
    <row r="14" spans="1:22" x14ac:dyDescent="0.3">
      <c r="A14" t="s">
        <v>1813</v>
      </c>
      <c r="B14">
        <v>7040400</v>
      </c>
      <c r="C14" t="s">
        <v>1813</v>
      </c>
      <c r="D14">
        <v>928676</v>
      </c>
      <c r="E14" t="s">
        <v>1813</v>
      </c>
      <c r="F14">
        <v>2796</v>
      </c>
      <c r="G14" t="s">
        <v>1813</v>
      </c>
      <c r="H14">
        <v>6205</v>
      </c>
      <c r="I14" t="s">
        <v>1813</v>
      </c>
      <c r="J14">
        <v>59202.310000000034</v>
      </c>
      <c r="K14" t="s">
        <v>1813</v>
      </c>
      <c r="L14">
        <v>5902443012275225</v>
      </c>
      <c r="M14" t="s">
        <v>1813</v>
      </c>
      <c r="N14">
        <v>37220.200000000004</v>
      </c>
      <c r="O14" t="s">
        <v>1813</v>
      </c>
      <c r="P14">
        <v>6041.7000000000098</v>
      </c>
      <c r="Q14" t="s">
        <v>1813</v>
      </c>
      <c r="R14">
        <v>19976.80000000001</v>
      </c>
      <c r="S14" t="s">
        <v>1813</v>
      </c>
      <c r="T14">
        <v>203942579126</v>
      </c>
      <c r="U14" t="s">
        <v>1813</v>
      </c>
      <c r="V14">
        <v>33459.249556993796</v>
      </c>
    </row>
    <row r="15" spans="1:22" ht="16.2" thickBot="1" x14ac:dyDescent="0.35">
      <c r="A15" s="6" t="s">
        <v>1814</v>
      </c>
      <c r="B15" s="6">
        <v>475</v>
      </c>
      <c r="C15" s="6" t="s">
        <v>1814</v>
      </c>
      <c r="D15" s="6">
        <v>475</v>
      </c>
      <c r="E15" s="6" t="s">
        <v>1814</v>
      </c>
      <c r="F15" s="6">
        <v>475</v>
      </c>
      <c r="G15" s="6" t="s">
        <v>1814</v>
      </c>
      <c r="H15" s="6">
        <v>475</v>
      </c>
      <c r="I15" s="6" t="s">
        <v>1814</v>
      </c>
      <c r="J15" s="6">
        <v>475</v>
      </c>
      <c r="K15" s="6" t="s">
        <v>1814</v>
      </c>
      <c r="L15" s="6">
        <v>475</v>
      </c>
      <c r="M15" s="6" t="s">
        <v>1814</v>
      </c>
      <c r="N15" s="6">
        <v>475</v>
      </c>
      <c r="O15" s="6" t="s">
        <v>1814</v>
      </c>
      <c r="P15" s="6">
        <v>475</v>
      </c>
      <c r="Q15" s="6" t="s">
        <v>1814</v>
      </c>
      <c r="R15" s="6">
        <v>475</v>
      </c>
      <c r="S15" s="6" t="s">
        <v>1814</v>
      </c>
      <c r="T15" s="6">
        <v>475</v>
      </c>
      <c r="U15" s="6" t="s">
        <v>1814</v>
      </c>
      <c r="V15" s="6">
        <v>475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AC414-3F33-493B-A4E7-CD6B0C219F06}">
  <dimension ref="A1:X7"/>
  <sheetViews>
    <sheetView workbookViewId="0">
      <selection activeCell="A3" sqref="A3:X7"/>
    </sheetView>
  </sheetViews>
  <sheetFormatPr defaultRowHeight="15.6" x14ac:dyDescent="0.3"/>
  <cols>
    <col min="1" max="1" width="8.8984375" bestFit="1" customWidth="1"/>
    <col min="2" max="2" width="15.19921875" bestFit="1" customWidth="1"/>
    <col min="3" max="3" width="14.8984375" bestFit="1" customWidth="1"/>
    <col min="4" max="4" width="12.19921875" bestFit="1" customWidth="1"/>
    <col min="5" max="5" width="12.09765625" bestFit="1" customWidth="1"/>
    <col min="6" max="6" width="16.8984375" bestFit="1" customWidth="1"/>
    <col min="7" max="7" width="15.19921875" bestFit="1" customWidth="1"/>
    <col min="8" max="8" width="10.59765625" bestFit="1" customWidth="1"/>
    <col min="9" max="9" width="8.8984375" bestFit="1" customWidth="1"/>
    <col min="10" max="10" width="10.796875" bestFit="1" customWidth="1"/>
    <col min="11" max="11" width="11.09765625" bestFit="1" customWidth="1"/>
    <col min="12" max="12" width="12" bestFit="1" customWidth="1"/>
    <col min="13" max="13" width="10.69921875" bestFit="1" customWidth="1"/>
    <col min="14" max="14" width="12.69921875" bestFit="1" customWidth="1"/>
    <col min="15" max="15" width="10.19921875" bestFit="1" customWidth="1"/>
    <col min="16" max="16" width="12.69921875" bestFit="1" customWidth="1"/>
    <col min="17" max="17" width="13.3984375" bestFit="1" customWidth="1"/>
    <col min="18" max="18" width="23.5" bestFit="1" customWidth="1"/>
    <col min="19" max="19" width="28.5" bestFit="1" customWidth="1"/>
    <col min="20" max="20" width="22.5" bestFit="1" customWidth="1"/>
    <col min="21" max="21" width="19.796875" bestFit="1" customWidth="1"/>
    <col min="22" max="22" width="8.8984375" bestFit="1" customWidth="1"/>
    <col min="23" max="23" width="13.796875" bestFit="1" customWidth="1"/>
    <col min="24" max="24" width="10.796875" bestFit="1" customWidth="1"/>
  </cols>
  <sheetData>
    <row r="1" spans="1:24" x14ac:dyDescent="0.3">
      <c r="A1" s="2" t="s">
        <v>1826</v>
      </c>
    </row>
    <row r="3" spans="1:24" x14ac:dyDescent="0.3">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1799</v>
      </c>
      <c r="W3" t="s">
        <v>1801</v>
      </c>
      <c r="X3" t="s">
        <v>1800</v>
      </c>
    </row>
    <row r="4" spans="1:24" x14ac:dyDescent="0.3">
      <c r="A4">
        <v>466</v>
      </c>
      <c r="B4" t="s">
        <v>38</v>
      </c>
      <c r="C4" t="s">
        <v>1669</v>
      </c>
      <c r="D4" t="s">
        <v>32</v>
      </c>
      <c r="E4" t="s">
        <v>856</v>
      </c>
      <c r="F4" t="s">
        <v>1670</v>
      </c>
      <c r="G4" t="s">
        <v>38</v>
      </c>
      <c r="H4" t="b">
        <v>1</v>
      </c>
      <c r="I4" t="s">
        <v>1796</v>
      </c>
      <c r="J4" t="s">
        <v>1668</v>
      </c>
      <c r="K4" t="s">
        <v>1049</v>
      </c>
      <c r="L4">
        <v>5500</v>
      </c>
      <c r="M4">
        <v>1988</v>
      </c>
      <c r="N4">
        <v>9</v>
      </c>
      <c r="O4">
        <v>9</v>
      </c>
      <c r="P4">
        <v>117.24</v>
      </c>
      <c r="Q4">
        <v>21427700000000</v>
      </c>
      <c r="R4">
        <v>78.5</v>
      </c>
      <c r="S4">
        <v>9.6</v>
      </c>
      <c r="T4">
        <v>36.6</v>
      </c>
      <c r="U4">
        <v>328239523</v>
      </c>
      <c r="V4">
        <v>37.296397694524501</v>
      </c>
      <c r="W4" s="3">
        <v>46018</v>
      </c>
      <c r="X4" s="3">
        <v>32395</v>
      </c>
    </row>
    <row r="5" spans="1:24" x14ac:dyDescent="0.3">
      <c r="A5">
        <v>466</v>
      </c>
      <c r="B5" t="s">
        <v>38</v>
      </c>
      <c r="C5" t="s">
        <v>1666</v>
      </c>
      <c r="D5" t="s">
        <v>32</v>
      </c>
      <c r="E5" t="s">
        <v>856</v>
      </c>
      <c r="F5" t="s">
        <v>1667</v>
      </c>
      <c r="G5" t="s">
        <v>38</v>
      </c>
      <c r="H5" t="b">
        <v>1</v>
      </c>
      <c r="I5" t="s">
        <v>1796</v>
      </c>
      <c r="J5" t="s">
        <v>1668</v>
      </c>
      <c r="K5" t="s">
        <v>190</v>
      </c>
      <c r="L5">
        <v>5500</v>
      </c>
      <c r="M5">
        <v>1990</v>
      </c>
      <c r="N5">
        <v>8</v>
      </c>
      <c r="O5">
        <v>6</v>
      </c>
      <c r="P5">
        <v>117.24</v>
      </c>
      <c r="Q5">
        <v>21427700000000</v>
      </c>
      <c r="R5">
        <v>78.5</v>
      </c>
      <c r="S5">
        <v>9.6</v>
      </c>
      <c r="T5">
        <v>36.6</v>
      </c>
      <c r="U5">
        <v>328239523</v>
      </c>
      <c r="V5">
        <v>35.392197125256672</v>
      </c>
      <c r="W5" s="3">
        <v>46018</v>
      </c>
      <c r="X5" s="3">
        <v>33091</v>
      </c>
    </row>
    <row r="6" spans="1:24" x14ac:dyDescent="0.3">
      <c r="A6">
        <v>74</v>
      </c>
      <c r="B6" t="s">
        <v>21</v>
      </c>
      <c r="C6" t="s">
        <v>378</v>
      </c>
      <c r="D6" t="s">
        <v>32</v>
      </c>
      <c r="E6" t="s">
        <v>379</v>
      </c>
      <c r="F6" t="s">
        <v>124</v>
      </c>
      <c r="G6" t="s">
        <v>21</v>
      </c>
      <c r="H6" t="b">
        <v>0</v>
      </c>
      <c r="I6" t="s">
        <v>1796</v>
      </c>
      <c r="J6" t="s">
        <v>125</v>
      </c>
      <c r="K6" t="s">
        <v>380</v>
      </c>
      <c r="L6">
        <v>21200</v>
      </c>
      <c r="M6">
        <v>1986</v>
      </c>
      <c r="N6">
        <v>9</v>
      </c>
      <c r="O6">
        <v>19</v>
      </c>
      <c r="P6">
        <v>117.24</v>
      </c>
      <c r="Q6">
        <v>21427700000000</v>
      </c>
      <c r="R6">
        <v>78.5</v>
      </c>
      <c r="S6">
        <v>9.6</v>
      </c>
      <c r="T6">
        <v>36.6</v>
      </c>
      <c r="U6">
        <v>328239523</v>
      </c>
      <c r="V6">
        <v>39.271731690622858</v>
      </c>
      <c r="W6" s="3">
        <v>46018</v>
      </c>
      <c r="X6" s="3">
        <v>31674</v>
      </c>
    </row>
    <row r="7" spans="1:24" x14ac:dyDescent="0.3">
      <c r="A7">
        <v>37</v>
      </c>
      <c r="B7" t="s">
        <v>103</v>
      </c>
      <c r="C7" t="s">
        <v>207</v>
      </c>
      <c r="D7" t="s">
        <v>208</v>
      </c>
      <c r="E7" t="s">
        <v>209</v>
      </c>
      <c r="F7" t="s">
        <v>210</v>
      </c>
      <c r="G7" t="s">
        <v>103</v>
      </c>
      <c r="H7" t="b">
        <v>0</v>
      </c>
      <c r="I7" t="s">
        <v>1796</v>
      </c>
      <c r="J7" t="s">
        <v>211</v>
      </c>
      <c r="K7" t="s">
        <v>114</v>
      </c>
      <c r="L7">
        <v>34700</v>
      </c>
      <c r="M7">
        <v>1992</v>
      </c>
      <c r="N7">
        <v>5</v>
      </c>
      <c r="O7">
        <v>7</v>
      </c>
      <c r="P7">
        <v>118.06</v>
      </c>
      <c r="Q7">
        <v>446314739528</v>
      </c>
      <c r="R7">
        <v>81.599999999999994</v>
      </c>
      <c r="S7">
        <v>25.4</v>
      </c>
      <c r="T7">
        <v>51.4</v>
      </c>
      <c r="U7">
        <v>8877067</v>
      </c>
      <c r="V7">
        <v>33.638618246235609</v>
      </c>
      <c r="W7" s="3">
        <v>46018</v>
      </c>
      <c r="X7" s="3">
        <v>33731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5C17-2B7E-444C-90E8-AE0662539426}">
  <dimension ref="A3:B28"/>
  <sheetViews>
    <sheetView tabSelected="1" topLeftCell="B1" workbookViewId="0">
      <selection activeCell="A23" sqref="A18:B26"/>
    </sheetView>
  </sheetViews>
  <sheetFormatPr defaultRowHeight="15.6" x14ac:dyDescent="0.3"/>
  <cols>
    <col min="1" max="1" width="27.3984375" bestFit="1" customWidth="1"/>
    <col min="2" max="2" width="16.3984375" bestFit="1" customWidth="1"/>
  </cols>
  <sheetData>
    <row r="3" spans="1:2" x14ac:dyDescent="0.3">
      <c r="A3" s="8" t="s">
        <v>1815</v>
      </c>
      <c r="B3" t="s">
        <v>1817</v>
      </c>
    </row>
    <row r="4" spans="1:2" x14ac:dyDescent="0.3">
      <c r="A4" s="9" t="s">
        <v>406</v>
      </c>
      <c r="B4">
        <v>20200</v>
      </c>
    </row>
    <row r="5" spans="1:2" x14ac:dyDescent="0.3">
      <c r="A5" s="9" t="s">
        <v>493</v>
      </c>
      <c r="B5">
        <v>16300</v>
      </c>
    </row>
    <row r="6" spans="1:2" x14ac:dyDescent="0.3">
      <c r="A6" s="9" t="s">
        <v>516</v>
      </c>
      <c r="B6">
        <v>15600</v>
      </c>
    </row>
    <row r="7" spans="1:2" x14ac:dyDescent="0.3">
      <c r="A7" s="9" t="s">
        <v>547</v>
      </c>
      <c r="B7">
        <v>14600</v>
      </c>
    </row>
    <row r="8" spans="1:2" x14ac:dyDescent="0.3">
      <c r="A8" s="9" t="s">
        <v>574</v>
      </c>
      <c r="B8">
        <v>13900</v>
      </c>
    </row>
    <row r="9" spans="1:2" x14ac:dyDescent="0.3">
      <c r="A9" s="9" t="s">
        <v>629</v>
      </c>
      <c r="B9">
        <v>12200</v>
      </c>
    </row>
    <row r="10" spans="1:2" x14ac:dyDescent="0.3">
      <c r="A10" s="9" t="s">
        <v>653</v>
      </c>
      <c r="B10">
        <v>11500</v>
      </c>
    </row>
    <row r="11" spans="1:2" x14ac:dyDescent="0.3">
      <c r="A11" s="9" t="s">
        <v>649</v>
      </c>
      <c r="B11">
        <v>11500</v>
      </c>
    </row>
    <row r="12" spans="1:2" x14ac:dyDescent="0.3">
      <c r="A12" s="9" t="s">
        <v>813</v>
      </c>
      <c r="B12">
        <v>9700</v>
      </c>
    </row>
    <row r="13" spans="1:2" x14ac:dyDescent="0.3">
      <c r="A13" s="9" t="s">
        <v>1114</v>
      </c>
      <c r="B13">
        <v>7700</v>
      </c>
    </row>
    <row r="14" spans="1:2" x14ac:dyDescent="0.3">
      <c r="A14" s="9" t="s">
        <v>1816</v>
      </c>
      <c r="B14">
        <v>133200</v>
      </c>
    </row>
    <row r="18" spans="1:2" x14ac:dyDescent="0.3">
      <c r="A18" s="8" t="s">
        <v>1815</v>
      </c>
      <c r="B18" t="s">
        <v>1818</v>
      </c>
    </row>
    <row r="19" spans="1:2" x14ac:dyDescent="0.3">
      <c r="A19" s="9" t="s">
        <v>1819</v>
      </c>
      <c r="B19">
        <v>4</v>
      </c>
    </row>
    <row r="20" spans="1:2" x14ac:dyDescent="0.3">
      <c r="A20" s="9" t="s">
        <v>1820</v>
      </c>
      <c r="B20">
        <v>28</v>
      </c>
    </row>
    <row r="21" spans="1:2" x14ac:dyDescent="0.3">
      <c r="A21" s="9" t="s">
        <v>1821</v>
      </c>
      <c r="B21">
        <v>70</v>
      </c>
    </row>
    <row r="22" spans="1:2" x14ac:dyDescent="0.3">
      <c r="A22" s="9" t="s">
        <v>1822</v>
      </c>
      <c r="B22">
        <v>126</v>
      </c>
    </row>
    <row r="23" spans="1:2" x14ac:dyDescent="0.3">
      <c r="A23" s="9" t="s">
        <v>1823</v>
      </c>
      <c r="B23">
        <v>118</v>
      </c>
    </row>
    <row r="24" spans="1:2" x14ac:dyDescent="0.3">
      <c r="A24" s="9" t="s">
        <v>1824</v>
      </c>
      <c r="B24">
        <v>96</v>
      </c>
    </row>
    <row r="25" spans="1:2" x14ac:dyDescent="0.3">
      <c r="A25" s="9" t="s">
        <v>1825</v>
      </c>
      <c r="B25">
        <v>33</v>
      </c>
    </row>
    <row r="26" spans="1:2" x14ac:dyDescent="0.3">
      <c r="A26" s="9" t="s">
        <v>1816</v>
      </c>
      <c r="B26">
        <v>475</v>
      </c>
    </row>
    <row r="28" spans="1:2" x14ac:dyDescent="0.3">
      <c r="A28" t="s">
        <v>1827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6"/>
  <sheetViews>
    <sheetView zoomScale="107" workbookViewId="0">
      <selection activeCell="E460" sqref="E460"/>
    </sheetView>
  </sheetViews>
  <sheetFormatPr defaultColWidth="10.69921875" defaultRowHeight="15.6" x14ac:dyDescent="0.3"/>
  <cols>
    <col min="1" max="1" width="4.69921875" customWidth="1"/>
    <col min="8" max="8" width="11" customWidth="1"/>
    <col min="12" max="16" width="11" customWidth="1"/>
    <col min="17" max="17" width="22" style="5" customWidth="1"/>
    <col min="18" max="20" width="11" customWidth="1"/>
    <col min="21" max="21" width="12" customWidth="1"/>
  </cols>
  <sheetData>
    <row r="1" spans="1:24"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4" t="s">
        <v>16</v>
      </c>
      <c r="R1" s="2" t="s">
        <v>17</v>
      </c>
      <c r="S1" s="2" t="s">
        <v>18</v>
      </c>
      <c r="T1" s="2" t="s">
        <v>19</v>
      </c>
      <c r="U1" s="2" t="s">
        <v>20</v>
      </c>
      <c r="V1" s="2" t="s">
        <v>1799</v>
      </c>
      <c r="W1" s="2" t="s">
        <v>1801</v>
      </c>
      <c r="X1" s="2" t="s">
        <v>1800</v>
      </c>
    </row>
    <row r="2" spans="1:24" x14ac:dyDescent="0.3">
      <c r="A2">
        <v>1</v>
      </c>
      <c r="B2" t="s">
        <v>21</v>
      </c>
      <c r="C2" t="s">
        <v>22</v>
      </c>
      <c r="D2" t="s">
        <v>23</v>
      </c>
      <c r="E2" t="s">
        <v>24</v>
      </c>
      <c r="F2" t="s">
        <v>25</v>
      </c>
      <c r="G2" t="s">
        <v>21</v>
      </c>
      <c r="H2" t="b">
        <v>0</v>
      </c>
      <c r="I2" t="s">
        <v>1797</v>
      </c>
      <c r="J2" t="s">
        <v>27</v>
      </c>
      <c r="K2" t="s">
        <v>28</v>
      </c>
      <c r="L2">
        <v>211000</v>
      </c>
      <c r="M2">
        <v>1949</v>
      </c>
      <c r="N2">
        <v>3</v>
      </c>
      <c r="O2">
        <v>5</v>
      </c>
      <c r="P2">
        <v>110.05</v>
      </c>
      <c r="Q2" s="5">
        <v>2715518274227</v>
      </c>
      <c r="R2">
        <v>82.5</v>
      </c>
      <c r="S2">
        <v>24.2</v>
      </c>
      <c r="T2">
        <v>60.7</v>
      </c>
      <c r="U2">
        <v>67059887</v>
      </c>
      <c r="V2">
        <f t="shared" ref="V2:V65" ca="1" si="0">YEARFRAC(X2,W2,1)</f>
        <v>76.813824491537474</v>
      </c>
      <c r="W2" s="3">
        <f ca="1">TODAY()</f>
        <v>46018</v>
      </c>
      <c r="X2" s="3">
        <f>DATE(M2,N2,O2)</f>
        <v>17962</v>
      </c>
    </row>
    <row r="3" spans="1:24" x14ac:dyDescent="0.3">
      <c r="A3">
        <v>2</v>
      </c>
      <c r="B3" t="s">
        <v>30</v>
      </c>
      <c r="C3" t="s">
        <v>31</v>
      </c>
      <c r="D3" t="s">
        <v>32</v>
      </c>
      <c r="E3" t="s">
        <v>33</v>
      </c>
      <c r="F3" t="s">
        <v>34</v>
      </c>
      <c r="G3" t="s">
        <v>30</v>
      </c>
      <c r="H3" t="b">
        <v>1</v>
      </c>
      <c r="I3" t="s">
        <v>1796</v>
      </c>
      <c r="J3" t="s">
        <v>35</v>
      </c>
      <c r="K3" t="s">
        <v>36</v>
      </c>
      <c r="L3">
        <v>180000</v>
      </c>
      <c r="M3">
        <v>1971</v>
      </c>
      <c r="N3">
        <v>6</v>
      </c>
      <c r="O3">
        <v>28</v>
      </c>
      <c r="P3">
        <v>117.24</v>
      </c>
      <c r="Q3" s="5">
        <v>21427700000000</v>
      </c>
      <c r="R3">
        <v>78.5</v>
      </c>
      <c r="S3">
        <v>9.6</v>
      </c>
      <c r="T3">
        <v>36.6</v>
      </c>
      <c r="U3">
        <v>328239523</v>
      </c>
      <c r="V3">
        <f t="shared" ca="1" si="0"/>
        <v>54.49897954104236</v>
      </c>
      <c r="W3" s="3">
        <f t="shared" ref="W3:W66" ca="1" si="1">TODAY()</f>
        <v>46018</v>
      </c>
      <c r="X3" s="3">
        <f t="shared" ref="X3:X66" si="2">DATE(M3,N3,O3)</f>
        <v>26112</v>
      </c>
    </row>
    <row r="4" spans="1:24" x14ac:dyDescent="0.3">
      <c r="A4">
        <v>3</v>
      </c>
      <c r="B4" t="s">
        <v>38</v>
      </c>
      <c r="C4" t="s">
        <v>39</v>
      </c>
      <c r="D4" t="s">
        <v>32</v>
      </c>
      <c r="E4" t="s">
        <v>40</v>
      </c>
      <c r="F4" t="s">
        <v>41</v>
      </c>
      <c r="G4" t="s">
        <v>38</v>
      </c>
      <c r="H4" t="b">
        <v>1</v>
      </c>
      <c r="I4" t="s">
        <v>1796</v>
      </c>
      <c r="J4" t="s">
        <v>42</v>
      </c>
      <c r="K4" t="s">
        <v>43</v>
      </c>
      <c r="L4">
        <v>114000</v>
      </c>
      <c r="M4">
        <v>1964</v>
      </c>
      <c r="N4">
        <v>1</v>
      </c>
      <c r="O4">
        <v>12</v>
      </c>
      <c r="P4">
        <v>117.24</v>
      </c>
      <c r="Q4" s="5">
        <v>21427700000000</v>
      </c>
      <c r="R4">
        <v>78.5</v>
      </c>
      <c r="S4">
        <v>9.6</v>
      </c>
      <c r="T4">
        <v>36.6</v>
      </c>
      <c r="U4">
        <v>328239523</v>
      </c>
      <c r="V4">
        <f t="shared" ca="1" si="0"/>
        <v>61.956195354588004</v>
      </c>
      <c r="W4" s="3">
        <f t="shared" ca="1" si="1"/>
        <v>46018</v>
      </c>
      <c r="X4" s="3">
        <f t="shared" si="2"/>
        <v>23388</v>
      </c>
    </row>
    <row r="5" spans="1:24" x14ac:dyDescent="0.3">
      <c r="A5">
        <v>4</v>
      </c>
      <c r="B5" t="s">
        <v>38</v>
      </c>
      <c r="C5" t="s">
        <v>44</v>
      </c>
      <c r="D5" t="s">
        <v>32</v>
      </c>
      <c r="E5" t="s">
        <v>45</v>
      </c>
      <c r="F5" t="s">
        <v>46</v>
      </c>
      <c r="G5" t="s">
        <v>38</v>
      </c>
      <c r="H5" t="b">
        <v>1</v>
      </c>
      <c r="I5" t="s">
        <v>1796</v>
      </c>
      <c r="J5" t="s">
        <v>47</v>
      </c>
      <c r="K5" t="s">
        <v>48</v>
      </c>
      <c r="L5">
        <v>107000</v>
      </c>
      <c r="M5">
        <v>1944</v>
      </c>
      <c r="N5">
        <v>8</v>
      </c>
      <c r="O5">
        <v>17</v>
      </c>
      <c r="P5">
        <v>117.24</v>
      </c>
      <c r="Q5" s="5">
        <v>21427700000000</v>
      </c>
      <c r="R5">
        <v>78.5</v>
      </c>
      <c r="S5">
        <v>9.6</v>
      </c>
      <c r="T5">
        <v>36.6</v>
      </c>
      <c r="U5">
        <v>328239523</v>
      </c>
      <c r="V5">
        <f t="shared" ca="1" si="0"/>
        <v>81.359353610897799</v>
      </c>
      <c r="W5" s="3">
        <f t="shared" ca="1" si="1"/>
        <v>46018</v>
      </c>
      <c r="X5" s="3">
        <f t="shared" si="2"/>
        <v>16301</v>
      </c>
    </row>
    <row r="6" spans="1:24" x14ac:dyDescent="0.3">
      <c r="A6">
        <v>5</v>
      </c>
      <c r="B6" t="s">
        <v>49</v>
      </c>
      <c r="C6" t="s">
        <v>50</v>
      </c>
      <c r="D6" t="s">
        <v>32</v>
      </c>
      <c r="E6" t="s">
        <v>51</v>
      </c>
      <c r="F6" t="s">
        <v>52</v>
      </c>
      <c r="G6" t="s">
        <v>49</v>
      </c>
      <c r="H6" t="b">
        <v>1</v>
      </c>
      <c r="I6" t="s">
        <v>1796</v>
      </c>
      <c r="J6" t="s">
        <v>53</v>
      </c>
      <c r="K6" t="s">
        <v>54</v>
      </c>
      <c r="L6">
        <v>106000</v>
      </c>
      <c r="M6">
        <v>1930</v>
      </c>
      <c r="N6">
        <v>8</v>
      </c>
      <c r="O6">
        <v>30</v>
      </c>
      <c r="P6">
        <v>117.24</v>
      </c>
      <c r="Q6" s="5">
        <v>21427700000000</v>
      </c>
      <c r="R6">
        <v>78.5</v>
      </c>
      <c r="S6">
        <v>9.6</v>
      </c>
      <c r="T6">
        <v>36.6</v>
      </c>
      <c r="U6">
        <v>328239523</v>
      </c>
      <c r="V6">
        <f t="shared" ca="1" si="0"/>
        <v>95.32648870636551</v>
      </c>
      <c r="W6" s="3">
        <f t="shared" ca="1" si="1"/>
        <v>46018</v>
      </c>
      <c r="X6" s="3">
        <f t="shared" si="2"/>
        <v>11200</v>
      </c>
    </row>
    <row r="7" spans="1:24" x14ac:dyDescent="0.3">
      <c r="A7">
        <v>6</v>
      </c>
      <c r="B7" t="s">
        <v>38</v>
      </c>
      <c r="C7" t="s">
        <v>55</v>
      </c>
      <c r="D7" t="s">
        <v>32</v>
      </c>
      <c r="E7" t="s">
        <v>40</v>
      </c>
      <c r="F7" t="s">
        <v>56</v>
      </c>
      <c r="G7" t="s">
        <v>38</v>
      </c>
      <c r="H7" t="b">
        <v>1</v>
      </c>
      <c r="I7" t="s">
        <v>1796</v>
      </c>
      <c r="J7" t="s">
        <v>57</v>
      </c>
      <c r="K7" t="s">
        <v>58</v>
      </c>
      <c r="L7">
        <v>104000</v>
      </c>
      <c r="M7">
        <v>1955</v>
      </c>
      <c r="N7">
        <v>10</v>
      </c>
      <c r="O7">
        <v>28</v>
      </c>
      <c r="P7">
        <v>117.24</v>
      </c>
      <c r="Q7" s="5">
        <v>21427700000000</v>
      </c>
      <c r="R7">
        <v>78.5</v>
      </c>
      <c r="S7">
        <v>9.6</v>
      </c>
      <c r="T7">
        <v>36.6</v>
      </c>
      <c r="U7">
        <v>328239523</v>
      </c>
      <c r="V7">
        <f t="shared" ca="1" si="0"/>
        <v>70.164963559942933</v>
      </c>
      <c r="W7" s="3">
        <f t="shared" ca="1" si="1"/>
        <v>46018</v>
      </c>
      <c r="X7" s="3">
        <f t="shared" si="2"/>
        <v>20390</v>
      </c>
    </row>
    <row r="8" spans="1:24" x14ac:dyDescent="0.3">
      <c r="A8">
        <v>7</v>
      </c>
      <c r="B8" t="s">
        <v>59</v>
      </c>
      <c r="C8" t="s">
        <v>60</v>
      </c>
      <c r="D8" t="s">
        <v>32</v>
      </c>
      <c r="E8" t="s">
        <v>61</v>
      </c>
      <c r="F8" t="s">
        <v>62</v>
      </c>
      <c r="G8" t="s">
        <v>59</v>
      </c>
      <c r="H8" t="b">
        <v>1</v>
      </c>
      <c r="I8" t="s">
        <v>1796</v>
      </c>
      <c r="J8" t="s">
        <v>63</v>
      </c>
      <c r="K8" t="s">
        <v>64</v>
      </c>
      <c r="L8">
        <v>94500</v>
      </c>
      <c r="M8">
        <v>1942</v>
      </c>
      <c r="N8">
        <v>2</v>
      </c>
      <c r="O8">
        <v>14</v>
      </c>
      <c r="P8">
        <v>117.24</v>
      </c>
      <c r="Q8" s="5">
        <v>21427700000000</v>
      </c>
      <c r="R8">
        <v>78.5</v>
      </c>
      <c r="S8">
        <v>9.6</v>
      </c>
      <c r="T8">
        <v>36.6</v>
      </c>
      <c r="U8">
        <v>328239523</v>
      </c>
      <c r="V8">
        <f t="shared" ca="1" si="0"/>
        <v>83.865845311430533</v>
      </c>
      <c r="W8" s="3">
        <f t="shared" ca="1" si="1"/>
        <v>46018</v>
      </c>
      <c r="X8" s="3">
        <f t="shared" si="2"/>
        <v>15386</v>
      </c>
    </row>
    <row r="9" spans="1:24" x14ac:dyDescent="0.3">
      <c r="A9">
        <v>8</v>
      </c>
      <c r="B9" t="s">
        <v>65</v>
      </c>
      <c r="C9" t="s">
        <v>66</v>
      </c>
      <c r="D9" t="s">
        <v>67</v>
      </c>
      <c r="E9" t="s">
        <v>68</v>
      </c>
      <c r="F9" t="s">
        <v>65</v>
      </c>
      <c r="G9" t="s">
        <v>65</v>
      </c>
      <c r="H9" t="b">
        <v>1</v>
      </c>
      <c r="I9" t="s">
        <v>1796</v>
      </c>
      <c r="J9" t="s">
        <v>69</v>
      </c>
      <c r="K9" t="s">
        <v>70</v>
      </c>
      <c r="L9">
        <v>93000</v>
      </c>
      <c r="M9">
        <v>1940</v>
      </c>
      <c r="N9">
        <v>1</v>
      </c>
      <c r="O9">
        <v>28</v>
      </c>
      <c r="P9">
        <v>141.54</v>
      </c>
      <c r="Q9" s="5">
        <v>1258286717125</v>
      </c>
      <c r="R9">
        <v>75</v>
      </c>
      <c r="S9">
        <v>13.1</v>
      </c>
      <c r="T9">
        <v>55.1</v>
      </c>
      <c r="U9">
        <v>126014024</v>
      </c>
      <c r="V9">
        <f t="shared" ca="1" si="0"/>
        <v>85.912390169362027</v>
      </c>
      <c r="W9" s="3">
        <f t="shared" ca="1" si="1"/>
        <v>46018</v>
      </c>
      <c r="X9" s="3">
        <f t="shared" si="2"/>
        <v>14638</v>
      </c>
    </row>
    <row r="10" spans="1:24"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5">
        <v>2611000000000</v>
      </c>
      <c r="R10">
        <v>69.400000000000006</v>
      </c>
      <c r="S10">
        <v>11.2</v>
      </c>
      <c r="T10">
        <v>49.7</v>
      </c>
      <c r="U10">
        <v>1366417754</v>
      </c>
      <c r="V10">
        <f t="shared" ca="1" si="0"/>
        <v>68.69061979208</v>
      </c>
      <c r="W10" s="3">
        <f t="shared" ca="1" si="1"/>
        <v>46018</v>
      </c>
      <c r="X10" s="3">
        <f t="shared" si="2"/>
        <v>20929</v>
      </c>
    </row>
    <row r="11" spans="1:24"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5">
        <v>21427700000000</v>
      </c>
      <c r="R11">
        <v>78.5</v>
      </c>
      <c r="S11">
        <v>9.6</v>
      </c>
      <c r="T11">
        <v>36.6</v>
      </c>
      <c r="U11">
        <v>328239523</v>
      </c>
      <c r="V11">
        <f t="shared" ca="1" si="0"/>
        <v>69.759073842302882</v>
      </c>
      <c r="W11" s="3">
        <f t="shared" ca="1" si="1"/>
        <v>46018</v>
      </c>
      <c r="X11" s="3">
        <f t="shared" si="2"/>
        <v>20538</v>
      </c>
    </row>
    <row r="12" spans="1:24" x14ac:dyDescent="0.3">
      <c r="A12">
        <v>11</v>
      </c>
      <c r="B12" t="s">
        <v>21</v>
      </c>
      <c r="C12" t="s">
        <v>83</v>
      </c>
      <c r="D12" t="s">
        <v>23</v>
      </c>
      <c r="E12" t="s">
        <v>24</v>
      </c>
      <c r="F12" t="s">
        <v>84</v>
      </c>
      <c r="G12" t="s">
        <v>21</v>
      </c>
      <c r="H12" t="b">
        <v>0</v>
      </c>
      <c r="I12" t="s">
        <v>1798</v>
      </c>
      <c r="J12" t="s">
        <v>86</v>
      </c>
      <c r="K12" t="s">
        <v>87</v>
      </c>
      <c r="L12">
        <v>80500</v>
      </c>
      <c r="M12">
        <v>1953</v>
      </c>
      <c r="N12">
        <v>7</v>
      </c>
      <c r="O12">
        <v>10</v>
      </c>
      <c r="P12">
        <v>110.05</v>
      </c>
      <c r="Q12" s="5">
        <v>2715518274227</v>
      </c>
      <c r="R12">
        <v>82.5</v>
      </c>
      <c r="S12">
        <v>24.2</v>
      </c>
      <c r="T12">
        <v>60.7</v>
      </c>
      <c r="U12">
        <v>67059887</v>
      </c>
      <c r="V12">
        <f t="shared" ca="1" si="0"/>
        <v>72.466114090687469</v>
      </c>
      <c r="W12" s="3">
        <f t="shared" ca="1" si="1"/>
        <v>46018</v>
      </c>
      <c r="X12" s="3">
        <f t="shared" si="2"/>
        <v>19550</v>
      </c>
    </row>
    <row r="13" spans="1:24"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5">
        <v>21427700000000</v>
      </c>
      <c r="R13">
        <v>78.5</v>
      </c>
      <c r="S13">
        <v>9.6</v>
      </c>
      <c r="T13">
        <v>36.6</v>
      </c>
      <c r="U13">
        <v>328239523</v>
      </c>
      <c r="V13">
        <f t="shared" ca="1" si="0"/>
        <v>52.756328133071591</v>
      </c>
      <c r="W13" s="3">
        <f t="shared" ca="1" si="1"/>
        <v>46018</v>
      </c>
      <c r="X13" s="3">
        <f t="shared" si="2"/>
        <v>26749</v>
      </c>
    </row>
    <row r="14" spans="1:24"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5">
        <v>1394116310769</v>
      </c>
      <c r="R14">
        <v>83.3</v>
      </c>
      <c r="S14">
        <v>14.2</v>
      </c>
      <c r="T14">
        <v>47</v>
      </c>
      <c r="U14">
        <v>47076781</v>
      </c>
      <c r="V14">
        <f t="shared" ca="1" si="0"/>
        <v>89.748121558726012</v>
      </c>
      <c r="W14" s="3">
        <f t="shared" ca="1" si="1"/>
        <v>46018</v>
      </c>
      <c r="X14" s="3">
        <f t="shared" si="2"/>
        <v>13237</v>
      </c>
    </row>
    <row r="15" spans="1:24"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5">
        <v>21427700000000</v>
      </c>
      <c r="R15">
        <v>78.5</v>
      </c>
      <c r="S15">
        <v>9.6</v>
      </c>
      <c r="T15">
        <v>36.6</v>
      </c>
      <c r="U15">
        <v>328239523</v>
      </c>
      <c r="V15">
        <f t="shared" ca="1" si="0"/>
        <v>52.351120983572677</v>
      </c>
      <c r="W15" s="3">
        <f t="shared" ca="1" si="1"/>
        <v>46018</v>
      </c>
      <c r="X15" s="3">
        <f t="shared" si="2"/>
        <v>26897</v>
      </c>
    </row>
    <row r="16" spans="1:24"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5">
        <v>19910000000000</v>
      </c>
      <c r="R16">
        <v>77</v>
      </c>
      <c r="S16">
        <v>9.4</v>
      </c>
      <c r="T16">
        <v>59.2</v>
      </c>
      <c r="U16">
        <v>1397715000</v>
      </c>
      <c r="V16">
        <f t="shared" ca="1" si="0"/>
        <v>71.071868583162214</v>
      </c>
      <c r="W16" s="3">
        <f t="shared" ca="1" si="1"/>
        <v>46018</v>
      </c>
      <c r="X16" s="3">
        <f t="shared" si="2"/>
        <v>20059</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5">
        <v>21427700000000</v>
      </c>
      <c r="R17">
        <v>78.5</v>
      </c>
      <c r="S17">
        <v>9.6</v>
      </c>
      <c r="T17">
        <v>36.6</v>
      </c>
      <c r="U17">
        <v>328239523</v>
      </c>
      <c r="V17">
        <f t="shared" ca="1" si="0"/>
        <v>41.619451143993224</v>
      </c>
      <c r="W17" s="3">
        <f t="shared" ca="1" si="1"/>
        <v>46018</v>
      </c>
      <c r="X17" s="3">
        <f t="shared" si="2"/>
        <v>30816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5">
        <v>21427700000000</v>
      </c>
      <c r="R18">
        <v>78.5</v>
      </c>
      <c r="S18">
        <v>9.6</v>
      </c>
      <c r="T18">
        <v>36.6</v>
      </c>
      <c r="U18">
        <v>328239523</v>
      </c>
      <c r="V18">
        <f t="shared" ca="1" si="0"/>
        <v>90.154010469944041</v>
      </c>
      <c r="W18" s="3">
        <f t="shared" ca="1" si="1"/>
        <v>46018</v>
      </c>
      <c r="X18" s="3">
        <f t="shared" si="2"/>
        <v>13089</v>
      </c>
    </row>
    <row r="19" spans="1:24" x14ac:dyDescent="0.3">
      <c r="A19">
        <v>17</v>
      </c>
      <c r="B19" t="s">
        <v>72</v>
      </c>
      <c r="C19" t="s">
        <v>120</v>
      </c>
      <c r="D19" t="s">
        <v>32</v>
      </c>
      <c r="E19" t="s">
        <v>61</v>
      </c>
      <c r="F19" t="s">
        <v>117</v>
      </c>
      <c r="G19" t="s">
        <v>72</v>
      </c>
      <c r="H19" t="b">
        <v>0</v>
      </c>
      <c r="I19" t="s">
        <v>1798</v>
      </c>
      <c r="J19" t="s">
        <v>118</v>
      </c>
      <c r="K19" t="s">
        <v>121</v>
      </c>
      <c r="L19">
        <v>59000</v>
      </c>
      <c r="M19">
        <v>1962</v>
      </c>
      <c r="N19">
        <v>4</v>
      </c>
      <c r="O19">
        <v>12</v>
      </c>
      <c r="P19">
        <v>117.24</v>
      </c>
      <c r="Q19" s="5">
        <v>21427700000000</v>
      </c>
      <c r="R19">
        <v>78.5</v>
      </c>
      <c r="S19">
        <v>9.6</v>
      </c>
      <c r="T19">
        <v>36.6</v>
      </c>
      <c r="U19">
        <v>328239523</v>
      </c>
      <c r="V19">
        <f t="shared" ca="1" si="0"/>
        <v>63.709787816563995</v>
      </c>
      <c r="W19" s="3">
        <f t="shared" ca="1" si="1"/>
        <v>46018</v>
      </c>
      <c r="X19" s="3">
        <f t="shared" si="2"/>
        <v>22748</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5">
        <v>21427700000000</v>
      </c>
      <c r="R20">
        <v>78.5</v>
      </c>
      <c r="S20">
        <v>9.6</v>
      </c>
      <c r="T20">
        <v>36.6</v>
      </c>
      <c r="U20">
        <v>328239523</v>
      </c>
      <c r="V20">
        <f t="shared" ca="1" si="0"/>
        <v>77.553738153738152</v>
      </c>
      <c r="W20" s="3">
        <f t="shared" ca="1" si="1"/>
        <v>46018</v>
      </c>
      <c r="X20" s="3">
        <f t="shared" si="2"/>
        <v>17691</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5">
        <v>21427700000000</v>
      </c>
      <c r="R21">
        <v>78.5</v>
      </c>
      <c r="S21">
        <v>9.6</v>
      </c>
      <c r="T21">
        <v>36.6</v>
      </c>
      <c r="U21">
        <v>328239523</v>
      </c>
      <c r="V21">
        <f t="shared" ca="1" si="0"/>
        <v>81.164969450101836</v>
      </c>
      <c r="W21" s="3">
        <f t="shared" ca="1" si="1"/>
        <v>46018</v>
      </c>
      <c r="X21" s="3">
        <f t="shared" si="2"/>
        <v>16372</v>
      </c>
    </row>
    <row r="22" spans="1:24" x14ac:dyDescent="0.3">
      <c r="A22">
        <v>21</v>
      </c>
      <c r="B22" t="s">
        <v>21</v>
      </c>
      <c r="C22" t="s">
        <v>129</v>
      </c>
      <c r="D22" t="s">
        <v>32</v>
      </c>
      <c r="E22" t="s">
        <v>130</v>
      </c>
      <c r="F22" t="s">
        <v>124</v>
      </c>
      <c r="G22" t="s">
        <v>21</v>
      </c>
      <c r="H22" t="b">
        <v>0</v>
      </c>
      <c r="I22" t="s">
        <v>1798</v>
      </c>
      <c r="J22" t="s">
        <v>125</v>
      </c>
      <c r="K22" t="s">
        <v>131</v>
      </c>
      <c r="L22">
        <v>56700</v>
      </c>
      <c r="M22">
        <v>1949</v>
      </c>
      <c r="N22">
        <v>10</v>
      </c>
      <c r="O22">
        <v>7</v>
      </c>
      <c r="P22">
        <v>117.24</v>
      </c>
      <c r="Q22" s="5">
        <v>21427700000000</v>
      </c>
      <c r="R22">
        <v>78.5</v>
      </c>
      <c r="S22">
        <v>9.6</v>
      </c>
      <c r="T22">
        <v>36.6</v>
      </c>
      <c r="U22">
        <v>328239523</v>
      </c>
      <c r="V22">
        <f t="shared" ca="1" si="0"/>
        <v>76.222443464656521</v>
      </c>
      <c r="W22" s="3">
        <f t="shared" ca="1" si="1"/>
        <v>46018</v>
      </c>
      <c r="X22" s="3">
        <f t="shared" si="2"/>
        <v>18178</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5">
        <v>1736425629520</v>
      </c>
      <c r="R23">
        <v>81.900000000000006</v>
      </c>
      <c r="S23">
        <v>12.8</v>
      </c>
      <c r="T23">
        <v>24.5</v>
      </c>
      <c r="U23">
        <v>36991981</v>
      </c>
      <c r="V23">
        <f t="shared" ca="1" si="0"/>
        <v>68.542774382985485</v>
      </c>
      <c r="W23" s="3">
        <f t="shared" ca="1" si="1"/>
        <v>46018</v>
      </c>
      <c r="X23" s="3">
        <f t="shared" si="2"/>
        <v>20983</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5">
        <v>21427700000000</v>
      </c>
      <c r="R24">
        <v>78.5</v>
      </c>
      <c r="S24">
        <v>9.6</v>
      </c>
      <c r="T24">
        <v>36.6</v>
      </c>
      <c r="U24">
        <v>328239523</v>
      </c>
      <c r="V24">
        <f t="shared" ca="1" si="0"/>
        <v>60.841202872531419</v>
      </c>
      <c r="W24" s="3">
        <f t="shared" ca="1" si="1"/>
        <v>46018</v>
      </c>
      <c r="X24" s="3">
        <f t="shared" si="2"/>
        <v>23796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5">
        <v>2611000000000</v>
      </c>
      <c r="R25">
        <v>69.400000000000006</v>
      </c>
      <c r="S25">
        <v>11.2</v>
      </c>
      <c r="T25">
        <v>49.7</v>
      </c>
      <c r="U25">
        <v>1366417754</v>
      </c>
      <c r="V25">
        <f t="shared" ca="1" si="0"/>
        <v>63.509924709103352</v>
      </c>
      <c r="W25" s="3">
        <f t="shared" ca="1" si="1"/>
        <v>46018</v>
      </c>
      <c r="X25" s="3">
        <f t="shared" si="2"/>
        <v>22821</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5">
        <v>21427700000000</v>
      </c>
      <c r="R26">
        <v>78.5</v>
      </c>
      <c r="S26">
        <v>9.6</v>
      </c>
      <c r="T26">
        <v>36.6</v>
      </c>
      <c r="U26">
        <v>328239523</v>
      </c>
      <c r="V26">
        <f t="shared" ca="1" si="0"/>
        <v>87.8384668035592</v>
      </c>
      <c r="W26" s="3">
        <f t="shared" ca="1" si="1"/>
        <v>46018</v>
      </c>
      <c r="X26" s="3">
        <f t="shared" si="2"/>
        <v>13935</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5">
        <v>19910000000000</v>
      </c>
      <c r="R27">
        <v>77</v>
      </c>
      <c r="S27">
        <v>9.4</v>
      </c>
      <c r="T27">
        <v>59.2</v>
      </c>
      <c r="U27">
        <v>1397715000</v>
      </c>
      <c r="V27">
        <f t="shared" ca="1" si="0"/>
        <v>41.986311192229969</v>
      </c>
      <c r="W27" s="3">
        <f t="shared" ca="1" si="1"/>
        <v>46018</v>
      </c>
      <c r="X27" s="3">
        <f t="shared" si="2"/>
        <v>30682</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5">
        <v>3845630030824</v>
      </c>
      <c r="R28">
        <v>80.900000000000006</v>
      </c>
      <c r="S28">
        <v>11.5</v>
      </c>
      <c r="T28">
        <v>48.8</v>
      </c>
      <c r="U28">
        <v>83132799</v>
      </c>
      <c r="V28">
        <f t="shared" ca="1" si="0"/>
        <v>86.258048273908813</v>
      </c>
      <c r="W28" s="3">
        <f t="shared" ca="1" si="1"/>
        <v>46018</v>
      </c>
      <c r="X28" s="3">
        <f t="shared" si="2"/>
        <v>14512</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5">
        <v>2715518274227</v>
      </c>
      <c r="R29">
        <v>82.5</v>
      </c>
      <c r="S29">
        <v>24.2</v>
      </c>
      <c r="T29">
        <v>60.7</v>
      </c>
      <c r="U29">
        <v>67059887</v>
      </c>
      <c r="V29">
        <f t="shared" ca="1" si="0"/>
        <v>89.348401423660761</v>
      </c>
      <c r="W29" s="3">
        <f t="shared" ca="1" si="1"/>
        <v>46018</v>
      </c>
      <c r="X29" s="3">
        <f t="shared" si="2"/>
        <v>13383</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5">
        <v>703082435360</v>
      </c>
      <c r="R30">
        <v>83.6</v>
      </c>
      <c r="S30">
        <v>10.1</v>
      </c>
      <c r="T30">
        <v>28.8</v>
      </c>
      <c r="U30">
        <v>8574832</v>
      </c>
      <c r="V30">
        <f t="shared" ca="1" si="0"/>
        <v>88.57015412065094</v>
      </c>
      <c r="W30" s="3">
        <f t="shared" ca="1" si="1"/>
        <v>46018</v>
      </c>
      <c r="X30" s="3">
        <f t="shared" si="2"/>
        <v>13668</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5">
        <v>529606710418</v>
      </c>
      <c r="R31">
        <v>81.599999999999994</v>
      </c>
      <c r="S31">
        <v>24</v>
      </c>
      <c r="T31">
        <v>55.4</v>
      </c>
      <c r="U31">
        <v>11484055</v>
      </c>
      <c r="V31">
        <f t="shared" ca="1" si="0"/>
        <v>61.263534399010865</v>
      </c>
      <c r="W31" s="3">
        <f t="shared" ca="1" si="1"/>
        <v>46018</v>
      </c>
      <c r="X31" s="3">
        <f t="shared" si="2"/>
        <v>23641</v>
      </c>
    </row>
    <row r="32" spans="1:24" x14ac:dyDescent="0.3">
      <c r="A32">
        <v>31</v>
      </c>
      <c r="B32" t="s">
        <v>103</v>
      </c>
      <c r="C32" t="s">
        <v>183</v>
      </c>
      <c r="D32" t="s">
        <v>32</v>
      </c>
      <c r="E32" t="s">
        <v>184</v>
      </c>
      <c r="F32" t="s">
        <v>185</v>
      </c>
      <c r="G32" t="s">
        <v>103</v>
      </c>
      <c r="H32" t="b">
        <v>0</v>
      </c>
      <c r="I32" t="s">
        <v>1798</v>
      </c>
      <c r="J32" t="s">
        <v>186</v>
      </c>
      <c r="K32" t="s">
        <v>187</v>
      </c>
      <c r="L32">
        <v>38300</v>
      </c>
      <c r="M32">
        <v>1939</v>
      </c>
      <c r="N32">
        <v>10</v>
      </c>
      <c r="O32">
        <v>10</v>
      </c>
      <c r="P32">
        <v>117.24</v>
      </c>
      <c r="Q32" s="5">
        <v>21427700000000</v>
      </c>
      <c r="R32">
        <v>78.5</v>
      </c>
      <c r="S32">
        <v>9.6</v>
      </c>
      <c r="T32">
        <v>36.6</v>
      </c>
      <c r="U32">
        <v>328239523</v>
      </c>
      <c r="V32">
        <f t="shared" ca="1" si="0"/>
        <v>86.214243005947708</v>
      </c>
      <c r="W32" s="3">
        <f t="shared" ca="1" si="1"/>
        <v>46018</v>
      </c>
      <c r="X32" s="3">
        <f t="shared" si="2"/>
        <v>14528</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5">
        <v>21427700000000</v>
      </c>
      <c r="R33">
        <v>78.5</v>
      </c>
      <c r="S33">
        <v>9.6</v>
      </c>
      <c r="T33">
        <v>36.6</v>
      </c>
      <c r="U33">
        <v>328239523</v>
      </c>
      <c r="V33">
        <f t="shared" ca="1" si="0"/>
        <v>90.20055358324808</v>
      </c>
      <c r="W33" s="3">
        <f t="shared" ca="1" si="1"/>
        <v>46018</v>
      </c>
      <c r="X33" s="3">
        <f t="shared" si="2"/>
        <v>13072</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5">
        <v>19910000000000</v>
      </c>
      <c r="R34">
        <v>77</v>
      </c>
      <c r="S34">
        <v>9.4</v>
      </c>
      <c r="T34">
        <v>59.2</v>
      </c>
      <c r="U34">
        <v>1397715000</v>
      </c>
      <c r="V34">
        <f t="shared" ca="1" si="0"/>
        <v>54.162228085021653</v>
      </c>
      <c r="W34" s="3">
        <f t="shared" ca="1" si="1"/>
        <v>46018</v>
      </c>
      <c r="X34" s="3">
        <f t="shared" si="2"/>
        <v>26235</v>
      </c>
    </row>
    <row r="35" spans="1:24" x14ac:dyDescent="0.3">
      <c r="A35">
        <v>35</v>
      </c>
      <c r="B35" t="s">
        <v>196</v>
      </c>
      <c r="C35" t="s">
        <v>197</v>
      </c>
      <c r="D35" t="s">
        <v>32</v>
      </c>
      <c r="E35" t="s">
        <v>198</v>
      </c>
      <c r="F35" t="s">
        <v>199</v>
      </c>
      <c r="G35" t="s">
        <v>196</v>
      </c>
      <c r="H35" t="b">
        <v>0</v>
      </c>
      <c r="I35" t="s">
        <v>1798</v>
      </c>
      <c r="J35" t="s">
        <v>200</v>
      </c>
      <c r="K35" t="s">
        <v>201</v>
      </c>
      <c r="L35">
        <v>35000</v>
      </c>
      <c r="M35">
        <v>1945</v>
      </c>
      <c r="N35">
        <v>10</v>
      </c>
      <c r="O35">
        <v>10</v>
      </c>
      <c r="P35">
        <v>117.24</v>
      </c>
      <c r="Q35" s="5">
        <v>21427700000000</v>
      </c>
      <c r="R35">
        <v>78.5</v>
      </c>
      <c r="S35">
        <v>9.6</v>
      </c>
      <c r="T35">
        <v>36.6</v>
      </c>
      <c r="U35">
        <v>328239523</v>
      </c>
      <c r="V35">
        <f t="shared" ca="1" si="0"/>
        <v>80.214230184214969</v>
      </c>
      <c r="W35" s="3">
        <f t="shared" ca="1" si="1"/>
        <v>46018</v>
      </c>
      <c r="X35" s="3">
        <f t="shared" si="2"/>
        <v>16720</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5">
        <v>21427700000000</v>
      </c>
      <c r="R36">
        <v>78.5</v>
      </c>
      <c r="S36">
        <v>9.6</v>
      </c>
      <c r="T36">
        <v>36.6</v>
      </c>
      <c r="U36">
        <v>328239523</v>
      </c>
      <c r="V36">
        <f t="shared" ca="1" si="0"/>
        <v>57.197828652348356</v>
      </c>
      <c r="W36" s="3">
        <f t="shared" ca="1" si="1"/>
        <v>46018</v>
      </c>
      <c r="X36" s="3">
        <f t="shared" si="2"/>
        <v>25126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5">
        <v>446314739528</v>
      </c>
      <c r="R37">
        <v>81.599999999999994</v>
      </c>
      <c r="S37">
        <v>25.4</v>
      </c>
      <c r="T37">
        <v>51.4</v>
      </c>
      <c r="U37">
        <v>8877067</v>
      </c>
      <c r="V37">
        <f t="shared" ca="1" si="0"/>
        <v>33.638618246235609</v>
      </c>
      <c r="W37" s="3">
        <f t="shared" ca="1" si="1"/>
        <v>46018</v>
      </c>
      <c r="X37" s="3">
        <f t="shared" si="2"/>
        <v>33731</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5">
        <v>19910000000000</v>
      </c>
      <c r="R38">
        <v>77</v>
      </c>
      <c r="S38">
        <v>9.4</v>
      </c>
      <c r="T38">
        <v>59.2</v>
      </c>
      <c r="U38">
        <v>1397715000</v>
      </c>
      <c r="V38">
        <f t="shared" ca="1" si="0"/>
        <v>56.986310581680193</v>
      </c>
      <c r="W38" s="3">
        <f t="shared" ca="1" si="1"/>
        <v>46018</v>
      </c>
      <c r="X38" s="3">
        <f t="shared" si="2"/>
        <v>25204</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5">
        <v>5081769542380</v>
      </c>
      <c r="R39">
        <v>84.2</v>
      </c>
      <c r="S39">
        <v>11.9</v>
      </c>
      <c r="T39">
        <v>46.7</v>
      </c>
      <c r="U39">
        <v>126226568</v>
      </c>
      <c r="V39">
        <f t="shared" ca="1" si="0"/>
        <v>76.885009244773144</v>
      </c>
      <c r="W39" s="3">
        <f t="shared" ca="1" si="1"/>
        <v>46018</v>
      </c>
      <c r="X39" s="3">
        <f t="shared" si="2"/>
        <v>17936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5">
        <v>2827113184696</v>
      </c>
      <c r="R40">
        <v>81.3</v>
      </c>
      <c r="S40">
        <v>25.5</v>
      </c>
      <c r="T40">
        <v>30.6</v>
      </c>
      <c r="U40">
        <v>66834405</v>
      </c>
      <c r="V40">
        <f t="shared" ca="1" si="0"/>
        <v>68.572891040393628</v>
      </c>
      <c r="W40" s="3">
        <f t="shared" ca="1" si="1"/>
        <v>46018</v>
      </c>
      <c r="X40" s="3">
        <f t="shared" si="2"/>
        <v>20972</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5">
        <v>21427700000000</v>
      </c>
      <c r="R41">
        <v>78.5</v>
      </c>
      <c r="S41">
        <v>9.6</v>
      </c>
      <c r="T41">
        <v>36.6</v>
      </c>
      <c r="U41">
        <v>328239523</v>
      </c>
      <c r="V41">
        <f t="shared" ca="1" si="0"/>
        <v>77.329238329238322</v>
      </c>
      <c r="W41" s="3">
        <f t="shared" ca="1" si="1"/>
        <v>46018</v>
      </c>
      <c r="X41" s="3">
        <f t="shared" si="2"/>
        <v>17773</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5">
        <v>21427700000000</v>
      </c>
      <c r="R42">
        <v>78.5</v>
      </c>
      <c r="S42">
        <v>9.6</v>
      </c>
      <c r="T42">
        <v>36.6</v>
      </c>
      <c r="U42">
        <v>328239523</v>
      </c>
      <c r="V42">
        <f t="shared" ca="1" si="0"/>
        <v>74.964408264583483</v>
      </c>
      <c r="W42" s="3">
        <f t="shared" ca="1" si="1"/>
        <v>46018</v>
      </c>
      <c r="X42" s="3">
        <f t="shared" si="2"/>
        <v>18637</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5">
        <v>703082435360</v>
      </c>
      <c r="R43">
        <v>83.6</v>
      </c>
      <c r="S43">
        <v>10.1</v>
      </c>
      <c r="T43">
        <v>28.8</v>
      </c>
      <c r="U43">
        <v>8574832</v>
      </c>
      <c r="V43">
        <f t="shared" ca="1" si="0"/>
        <v>85.498981281039093</v>
      </c>
      <c r="W43" s="3">
        <f t="shared" ca="1" si="1"/>
        <v>46018</v>
      </c>
      <c r="X43" s="3">
        <f t="shared" si="2"/>
        <v>14789</v>
      </c>
    </row>
    <row r="44" spans="1:24" x14ac:dyDescent="0.3">
      <c r="A44">
        <v>43</v>
      </c>
      <c r="B44" t="s">
        <v>168</v>
      </c>
      <c r="C44" t="s">
        <v>242</v>
      </c>
      <c r="D44" t="s">
        <v>170</v>
      </c>
      <c r="E44" t="s">
        <v>239</v>
      </c>
      <c r="F44" t="s">
        <v>172</v>
      </c>
      <c r="G44" t="s">
        <v>168</v>
      </c>
      <c r="H44" t="b">
        <v>1</v>
      </c>
      <c r="I44" t="s">
        <v>1798</v>
      </c>
      <c r="J44" t="s">
        <v>243</v>
      </c>
      <c r="K44" t="s">
        <v>244</v>
      </c>
      <c r="L44">
        <v>31200</v>
      </c>
      <c r="M44">
        <v>1945</v>
      </c>
      <c r="N44">
        <v>3</v>
      </c>
      <c r="O44">
        <v>26</v>
      </c>
      <c r="P44">
        <v>99.55</v>
      </c>
      <c r="Q44" s="5">
        <v>703082435360</v>
      </c>
      <c r="R44">
        <v>83.6</v>
      </c>
      <c r="S44">
        <v>10.1</v>
      </c>
      <c r="T44">
        <v>28.8</v>
      </c>
      <c r="U44">
        <v>8574832</v>
      </c>
      <c r="V44">
        <f t="shared" ca="1" si="0"/>
        <v>80.756329220888958</v>
      </c>
      <c r="W44" s="3">
        <f t="shared" ca="1" si="1"/>
        <v>46018</v>
      </c>
      <c r="X44" s="3">
        <f t="shared" si="2"/>
        <v>16522</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5">
        <v>19910000000000</v>
      </c>
      <c r="R45">
        <v>77</v>
      </c>
      <c r="S45">
        <v>9.4</v>
      </c>
      <c r="T45">
        <v>59.2</v>
      </c>
      <c r="U45">
        <v>1397715000</v>
      </c>
      <c r="V45">
        <f t="shared" ca="1" si="0"/>
        <v>45.898702535412454</v>
      </c>
      <c r="W45" s="3">
        <f t="shared" ca="1" si="1"/>
        <v>46018</v>
      </c>
      <c r="X45" s="3">
        <f t="shared" si="2"/>
        <v>29253</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5">
        <v>3845630030824</v>
      </c>
      <c r="R46">
        <v>80.900000000000006</v>
      </c>
      <c r="S46">
        <v>11.5</v>
      </c>
      <c r="T46">
        <v>48.8</v>
      </c>
      <c r="U46">
        <v>83132799</v>
      </c>
      <c r="V46">
        <f t="shared" ca="1" si="0"/>
        <v>90.687887357843422</v>
      </c>
      <c r="W46" s="3">
        <f t="shared" ca="1" si="1"/>
        <v>46018</v>
      </c>
      <c r="X46" s="3">
        <f t="shared" si="2"/>
        <v>12894</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5">
        <v>21427700000000</v>
      </c>
      <c r="R47">
        <v>78.5</v>
      </c>
      <c r="S47">
        <v>9.6</v>
      </c>
      <c r="T47">
        <v>36.6</v>
      </c>
      <c r="U47">
        <v>328239523</v>
      </c>
      <c r="V47">
        <f t="shared" ca="1" si="0"/>
        <v>67.44695414099931</v>
      </c>
      <c r="W47" s="3">
        <f t="shared" ca="1" si="1"/>
        <v>46018</v>
      </c>
      <c r="X47" s="3">
        <f t="shared" si="2"/>
        <v>21383</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5">
        <v>21427700000000</v>
      </c>
      <c r="R48">
        <v>78.5</v>
      </c>
      <c r="S48">
        <v>9.6</v>
      </c>
      <c r="T48">
        <v>36.6</v>
      </c>
      <c r="U48">
        <v>328239523</v>
      </c>
      <c r="V48">
        <f t="shared" ca="1" si="0"/>
        <v>87.674195756331287</v>
      </c>
      <c r="W48" s="3">
        <f t="shared" ca="1" si="1"/>
        <v>46018</v>
      </c>
      <c r="X48" s="3">
        <f t="shared" si="2"/>
        <v>13995</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5">
        <v>21427700000000</v>
      </c>
      <c r="R49">
        <v>78.5</v>
      </c>
      <c r="S49">
        <v>9.6</v>
      </c>
      <c r="T49">
        <v>36.6</v>
      </c>
      <c r="U49">
        <v>328239523</v>
      </c>
      <c r="V49">
        <f t="shared" ca="1" si="0"/>
        <v>78.86584647374805</v>
      </c>
      <c r="W49" s="3">
        <f t="shared" ca="1" si="1"/>
        <v>46018</v>
      </c>
      <c r="X49" s="3">
        <f t="shared" si="2"/>
        <v>17212</v>
      </c>
    </row>
    <row r="50" spans="1:24" x14ac:dyDescent="0.3">
      <c r="A50">
        <v>51</v>
      </c>
      <c r="B50" t="s">
        <v>30</v>
      </c>
      <c r="C50" t="s">
        <v>267</v>
      </c>
      <c r="D50" t="s">
        <v>158</v>
      </c>
      <c r="E50" t="s">
        <v>268</v>
      </c>
      <c r="F50" t="s">
        <v>269</v>
      </c>
      <c r="G50" t="s">
        <v>30</v>
      </c>
      <c r="H50" t="b">
        <v>0</v>
      </c>
      <c r="I50" t="s">
        <v>1798</v>
      </c>
      <c r="J50" t="s">
        <v>270</v>
      </c>
      <c r="K50" t="s">
        <v>271</v>
      </c>
      <c r="L50">
        <v>27400</v>
      </c>
      <c r="M50">
        <v>1962</v>
      </c>
      <c r="N50">
        <v>4</v>
      </c>
      <c r="O50">
        <v>28</v>
      </c>
      <c r="P50">
        <v>112.85</v>
      </c>
      <c r="Q50" s="5">
        <v>3845630030824</v>
      </c>
      <c r="R50">
        <v>80.900000000000006</v>
      </c>
      <c r="S50">
        <v>11.5</v>
      </c>
      <c r="T50">
        <v>48.8</v>
      </c>
      <c r="U50">
        <v>83132799</v>
      </c>
      <c r="V50">
        <f t="shared" ca="1" si="0"/>
        <v>63.665982203969882</v>
      </c>
      <c r="W50" s="3">
        <f t="shared" ca="1" si="1"/>
        <v>46018</v>
      </c>
      <c r="X50" s="3">
        <f t="shared" si="2"/>
        <v>22764</v>
      </c>
    </row>
    <row r="51" spans="1:24" x14ac:dyDescent="0.3">
      <c r="A51">
        <v>52</v>
      </c>
      <c r="B51" t="s">
        <v>272</v>
      </c>
      <c r="C51" t="s">
        <v>273</v>
      </c>
      <c r="D51" t="s">
        <v>274</v>
      </c>
      <c r="E51" t="s">
        <v>275</v>
      </c>
      <c r="F51" t="s">
        <v>276</v>
      </c>
      <c r="G51" t="s">
        <v>272</v>
      </c>
      <c r="H51" t="b">
        <v>0</v>
      </c>
      <c r="I51" t="s">
        <v>1798</v>
      </c>
      <c r="J51" t="s">
        <v>277</v>
      </c>
      <c r="K51" t="s">
        <v>278</v>
      </c>
      <c r="L51">
        <v>27000</v>
      </c>
      <c r="M51">
        <v>1954</v>
      </c>
      <c r="N51">
        <v>2</v>
      </c>
      <c r="O51">
        <v>9</v>
      </c>
      <c r="P51">
        <v>119.8</v>
      </c>
      <c r="Q51" s="5">
        <v>1392680589329</v>
      </c>
      <c r="R51">
        <v>82.7</v>
      </c>
      <c r="S51">
        <v>23</v>
      </c>
      <c r="T51">
        <v>47.4</v>
      </c>
      <c r="U51">
        <v>25766605</v>
      </c>
      <c r="V51">
        <f t="shared" ca="1" si="0"/>
        <v>71.879534565366185</v>
      </c>
      <c r="W51" s="3">
        <f t="shared" ca="1" si="1"/>
        <v>46018</v>
      </c>
      <c r="X51" s="3">
        <f t="shared" si="2"/>
        <v>19764</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5">
        <v>19910000000000</v>
      </c>
      <c r="R52">
        <v>77</v>
      </c>
      <c r="S52">
        <v>9.4</v>
      </c>
      <c r="T52">
        <v>59.2</v>
      </c>
      <c r="U52">
        <v>1397715000</v>
      </c>
      <c r="V52">
        <f t="shared" ca="1" si="0"/>
        <v>54.238886953058888</v>
      </c>
      <c r="W52" s="3">
        <f t="shared" ca="1" si="1"/>
        <v>46018</v>
      </c>
      <c r="X52" s="3">
        <f t="shared" si="2"/>
        <v>26207</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5">
        <v>1258286717125</v>
      </c>
      <c r="R53">
        <v>75</v>
      </c>
      <c r="S53">
        <v>13.1</v>
      </c>
      <c r="T53">
        <v>55.1</v>
      </c>
      <c r="U53">
        <v>126014024</v>
      </c>
      <c r="V53">
        <f t="shared" ca="1" si="0"/>
        <v>72.170423433222069</v>
      </c>
      <c r="W53" s="3">
        <f t="shared" ca="1" si="1"/>
        <v>46018</v>
      </c>
      <c r="X53" s="3">
        <f t="shared" si="2"/>
        <v>19658</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5">
        <v>2611000000000</v>
      </c>
      <c r="R54">
        <v>69.400000000000006</v>
      </c>
      <c r="S54">
        <v>11.2</v>
      </c>
      <c r="T54">
        <v>49.7</v>
      </c>
      <c r="U54">
        <v>1366417754</v>
      </c>
      <c r="V54">
        <f t="shared" ca="1" si="0"/>
        <v>80.444211593713021</v>
      </c>
      <c r="W54" s="3">
        <f t="shared" ca="1" si="1"/>
        <v>46018</v>
      </c>
      <c r="X54" s="3">
        <f t="shared" si="2"/>
        <v>16636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5">
        <v>1119190780753</v>
      </c>
      <c r="R55">
        <v>71.5</v>
      </c>
      <c r="S55">
        <v>10.199999999999999</v>
      </c>
      <c r="T55">
        <v>30.1</v>
      </c>
      <c r="U55">
        <v>270203917</v>
      </c>
      <c r="V55">
        <f t="shared" ca="1" si="0"/>
        <v>77.693366093366095</v>
      </c>
      <c r="W55" s="3">
        <f t="shared" ca="1" si="1"/>
        <v>46018</v>
      </c>
      <c r="X55" s="3">
        <f t="shared" si="2"/>
        <v>17640</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5">
        <v>21427700000000</v>
      </c>
      <c r="R56">
        <v>78.5</v>
      </c>
      <c r="S56">
        <v>9.6</v>
      </c>
      <c r="T56">
        <v>36.6</v>
      </c>
      <c r="U56">
        <v>328239523</v>
      </c>
      <c r="V56">
        <f t="shared" ca="1" si="0"/>
        <v>81.238890187305941</v>
      </c>
      <c r="W56" s="3">
        <f t="shared" ca="1" si="1"/>
        <v>46018</v>
      </c>
      <c r="X56" s="3">
        <f t="shared" si="2"/>
        <v>16345</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5">
        <v>421142267938</v>
      </c>
      <c r="R57">
        <v>77.8</v>
      </c>
      <c r="S57">
        <v>0.1</v>
      </c>
      <c r="T57">
        <v>15.9</v>
      </c>
      <c r="U57">
        <v>9770529</v>
      </c>
      <c r="V57">
        <f t="shared" ca="1" si="0"/>
        <v>53.802879740417765</v>
      </c>
      <c r="W57" s="3">
        <f t="shared" ca="1" si="1"/>
        <v>46018</v>
      </c>
      <c r="X57" s="3">
        <f t="shared" si="2"/>
        <v>26366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5">
        <v>3845630030824</v>
      </c>
      <c r="R58">
        <v>80.900000000000006</v>
      </c>
      <c r="S58">
        <v>11.5</v>
      </c>
      <c r="T58">
        <v>48.8</v>
      </c>
      <c r="U58">
        <v>83132799</v>
      </c>
      <c r="V58">
        <f t="shared" ca="1" si="0"/>
        <v>59.635865845311429</v>
      </c>
      <c r="W58" s="3">
        <f t="shared" ca="1" si="1"/>
        <v>46018</v>
      </c>
      <c r="X58" s="3">
        <f t="shared" si="2"/>
        <v>24236</v>
      </c>
    </row>
    <row r="59" spans="1:24" x14ac:dyDescent="0.3">
      <c r="A59">
        <v>60</v>
      </c>
      <c r="B59" t="s">
        <v>38</v>
      </c>
      <c r="C59" t="s">
        <v>317</v>
      </c>
      <c r="D59" t="s">
        <v>32</v>
      </c>
      <c r="E59" t="s">
        <v>318</v>
      </c>
      <c r="F59" t="s">
        <v>41</v>
      </c>
      <c r="G59" t="s">
        <v>38</v>
      </c>
      <c r="H59" t="b">
        <v>0</v>
      </c>
      <c r="I59" t="s">
        <v>1798</v>
      </c>
      <c r="J59" t="s">
        <v>319</v>
      </c>
      <c r="K59" t="s">
        <v>320</v>
      </c>
      <c r="L59">
        <v>24400</v>
      </c>
      <c r="M59">
        <v>1970</v>
      </c>
      <c r="N59">
        <v>4</v>
      </c>
      <c r="O59">
        <v>7</v>
      </c>
      <c r="P59">
        <v>117.24</v>
      </c>
      <c r="Q59" s="5">
        <v>21427700000000</v>
      </c>
      <c r="R59">
        <v>78.5</v>
      </c>
      <c r="S59">
        <v>9.6</v>
      </c>
      <c r="T59">
        <v>36.6</v>
      </c>
      <c r="U59">
        <v>328239523</v>
      </c>
      <c r="V59">
        <f t="shared" ca="1" si="0"/>
        <v>55.723477070499655</v>
      </c>
      <c r="W59" s="3">
        <f t="shared" ca="1" si="1"/>
        <v>46018</v>
      </c>
      <c r="X59" s="3">
        <f t="shared" si="2"/>
        <v>25665</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5">
        <v>1119190780753</v>
      </c>
      <c r="R60">
        <v>71.5</v>
      </c>
      <c r="S60">
        <v>10.199999999999999</v>
      </c>
      <c r="T60">
        <v>30.1</v>
      </c>
      <c r="U60">
        <v>270203917</v>
      </c>
      <c r="V60">
        <f t="shared" ca="1" si="0"/>
        <v>84.986310635830705</v>
      </c>
      <c r="W60" s="3">
        <f t="shared" ca="1" si="1"/>
        <v>46018</v>
      </c>
      <c r="X60" s="3">
        <f t="shared" si="2"/>
        <v>14977</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5">
        <v>1699876578871</v>
      </c>
      <c r="R61">
        <v>72.7</v>
      </c>
      <c r="S61">
        <v>11.4</v>
      </c>
      <c r="T61">
        <v>46.2</v>
      </c>
      <c r="U61">
        <v>144373535</v>
      </c>
      <c r="V61">
        <f t="shared" ca="1" si="0"/>
        <v>64.980834842677226</v>
      </c>
      <c r="W61" s="3">
        <f t="shared" ca="1" si="1"/>
        <v>46018</v>
      </c>
      <c r="X61" s="3">
        <f t="shared" si="2"/>
        <v>22284</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5">
        <v>19910000000000</v>
      </c>
      <c r="R62">
        <v>77</v>
      </c>
      <c r="S62">
        <v>9.4</v>
      </c>
      <c r="T62">
        <v>59.2</v>
      </c>
      <c r="U62">
        <v>1397715000</v>
      </c>
      <c r="V62">
        <f t="shared" ca="1" si="0"/>
        <v>61.29365009273161</v>
      </c>
      <c r="W62" s="3">
        <f t="shared" ca="1" si="1"/>
        <v>46018</v>
      </c>
      <c r="X62" s="3">
        <f t="shared" si="2"/>
        <v>23630</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5">
        <v>19910000000000</v>
      </c>
      <c r="R63">
        <v>77</v>
      </c>
      <c r="S63">
        <v>9.4</v>
      </c>
      <c r="T63">
        <v>59.2</v>
      </c>
      <c r="U63">
        <v>1397715000</v>
      </c>
      <c r="V63">
        <f t="shared" ca="1" si="0"/>
        <v>83.37850787132102</v>
      </c>
      <c r="W63" s="3">
        <f t="shared" ca="1" si="1"/>
        <v>46018</v>
      </c>
      <c r="X63" s="3">
        <f t="shared" si="2"/>
        <v>15564</v>
      </c>
    </row>
    <row r="64" spans="1:24" x14ac:dyDescent="0.3">
      <c r="A64">
        <v>65</v>
      </c>
      <c r="B64" t="s">
        <v>272</v>
      </c>
      <c r="C64" t="s">
        <v>340</v>
      </c>
      <c r="D64" t="s">
        <v>341</v>
      </c>
      <c r="E64" t="s">
        <v>342</v>
      </c>
      <c r="F64" t="s">
        <v>276</v>
      </c>
      <c r="G64" t="s">
        <v>272</v>
      </c>
      <c r="H64" t="b">
        <v>0</v>
      </c>
      <c r="I64" t="s">
        <v>1798</v>
      </c>
      <c r="J64" t="s">
        <v>343</v>
      </c>
      <c r="K64" t="s">
        <v>344</v>
      </c>
      <c r="L64">
        <v>23100</v>
      </c>
      <c r="M64">
        <v>1943</v>
      </c>
      <c r="N64">
        <v>1</v>
      </c>
      <c r="O64">
        <v>1</v>
      </c>
      <c r="P64">
        <v>131.91</v>
      </c>
      <c r="Q64" s="5">
        <v>282318159745</v>
      </c>
      <c r="R64">
        <v>80</v>
      </c>
      <c r="S64">
        <v>18.2</v>
      </c>
      <c r="T64">
        <v>34</v>
      </c>
      <c r="U64">
        <v>18952038</v>
      </c>
      <c r="V64">
        <f t="shared" ca="1" si="0"/>
        <v>82.986310858952365</v>
      </c>
      <c r="W64" s="3">
        <f t="shared" ca="1" si="1"/>
        <v>46018</v>
      </c>
      <c r="X64" s="3">
        <f t="shared" si="2"/>
        <v>15707</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5">
        <v>1119190780753</v>
      </c>
      <c r="R65">
        <v>71.5</v>
      </c>
      <c r="S65">
        <v>10.199999999999999</v>
      </c>
      <c r="T65">
        <v>30.1</v>
      </c>
      <c r="U65">
        <v>270203917</v>
      </c>
      <c r="V65">
        <f t="shared" ca="1" si="0"/>
        <v>86.236145639928253</v>
      </c>
      <c r="W65" s="3">
        <f t="shared" ca="1" si="1"/>
        <v>46018</v>
      </c>
      <c r="X65" s="3">
        <f t="shared" si="2"/>
        <v>14520</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5">
        <v>2827113184696</v>
      </c>
      <c r="R66">
        <v>81.3</v>
      </c>
      <c r="S66">
        <v>25.5</v>
      </c>
      <c r="T66">
        <v>30.6</v>
      </c>
      <c r="U66">
        <v>66834405</v>
      </c>
      <c r="V66">
        <f t="shared" ref="V66:V129" ca="1" si="3">YEARFRAC(X66,W66,1)</f>
        <v>72.986310617709933</v>
      </c>
      <c r="W66" s="3">
        <f t="shared" ca="1" si="1"/>
        <v>46018</v>
      </c>
      <c r="X66" s="3">
        <f t="shared" si="2"/>
        <v>19360</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5">
        <v>2611000000000</v>
      </c>
      <c r="R67">
        <v>69.400000000000006</v>
      </c>
      <c r="S67">
        <v>11.2</v>
      </c>
      <c r="T67">
        <v>49.7</v>
      </c>
      <c r="U67">
        <v>1366417754</v>
      </c>
      <c r="V67">
        <f t="shared" ca="1" si="3"/>
        <v>84.630387167428978</v>
      </c>
      <c r="W67" s="3">
        <f t="shared" ref="W67:W130" ca="1" si="4">TODAY()</f>
        <v>46018</v>
      </c>
      <c r="X67" s="3">
        <f t="shared" ref="X67:X130" si="5">DATE(M67,N67,O67)</f>
        <v>15107</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5">
        <v>5081769542380</v>
      </c>
      <c r="R68">
        <v>84.2</v>
      </c>
      <c r="S68">
        <v>11.9</v>
      </c>
      <c r="T68">
        <v>46.7</v>
      </c>
      <c r="U68">
        <v>126226568</v>
      </c>
      <c r="V68">
        <f t="shared" ca="1" si="3"/>
        <v>68.378501706213797</v>
      </c>
      <c r="W68" s="3">
        <f t="shared" ca="1" si="4"/>
        <v>46018</v>
      </c>
      <c r="X68" s="3">
        <f t="shared" si="5"/>
        <v>21043</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5">
        <v>1699876578871</v>
      </c>
      <c r="R69">
        <v>72.7</v>
      </c>
      <c r="S69">
        <v>11.4</v>
      </c>
      <c r="T69">
        <v>46.2</v>
      </c>
      <c r="U69">
        <v>144373535</v>
      </c>
      <c r="V69">
        <f t="shared" ca="1" si="3"/>
        <v>69.638610763454309</v>
      </c>
      <c r="W69" s="3">
        <f t="shared" ca="1" si="4"/>
        <v>46018</v>
      </c>
      <c r="X69" s="3">
        <f t="shared" si="5"/>
        <v>20582</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5">
        <v>2715518274227</v>
      </c>
      <c r="R70">
        <v>82.5</v>
      </c>
      <c r="S70">
        <v>24.2</v>
      </c>
      <c r="T70">
        <v>60.7</v>
      </c>
      <c r="U70">
        <v>67059887</v>
      </c>
      <c r="V70">
        <f t="shared" ca="1" si="3"/>
        <v>55.274469541409992</v>
      </c>
      <c r="W70" s="3">
        <f t="shared" ca="1" si="4"/>
        <v>46018</v>
      </c>
      <c r="X70" s="3">
        <f t="shared" si="5"/>
        <v>25829</v>
      </c>
    </row>
    <row r="71" spans="1:24" x14ac:dyDescent="0.3">
      <c r="A71">
        <v>72</v>
      </c>
      <c r="B71" t="s">
        <v>49</v>
      </c>
      <c r="C71" t="s">
        <v>369</v>
      </c>
      <c r="D71" t="s">
        <v>32</v>
      </c>
      <c r="E71" t="s">
        <v>370</v>
      </c>
      <c r="F71" t="s">
        <v>371</v>
      </c>
      <c r="G71" t="s">
        <v>49</v>
      </c>
      <c r="H71" t="b">
        <v>0</v>
      </c>
      <c r="I71" t="s">
        <v>1798</v>
      </c>
      <c r="J71" t="s">
        <v>372</v>
      </c>
      <c r="K71" t="s">
        <v>373</v>
      </c>
      <c r="L71">
        <v>21600</v>
      </c>
      <c r="M71">
        <v>1961</v>
      </c>
      <c r="N71">
        <v>12</v>
      </c>
      <c r="O71">
        <v>19</v>
      </c>
      <c r="P71">
        <v>117.24</v>
      </c>
      <c r="Q71" s="5">
        <v>21427700000000</v>
      </c>
      <c r="R71">
        <v>78.5</v>
      </c>
      <c r="S71">
        <v>9.6</v>
      </c>
      <c r="T71">
        <v>36.6</v>
      </c>
      <c r="U71">
        <v>328239523</v>
      </c>
      <c r="V71">
        <f t="shared" ca="1" si="3"/>
        <v>64.022576976538474</v>
      </c>
      <c r="W71" s="3">
        <f t="shared" ca="1" si="4"/>
        <v>46018</v>
      </c>
      <c r="X71" s="3">
        <f t="shared" si="5"/>
        <v>22634</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5">
        <v>1699876578871</v>
      </c>
      <c r="R72">
        <v>72.7</v>
      </c>
      <c r="S72">
        <v>11.4</v>
      </c>
      <c r="T72">
        <v>46.2</v>
      </c>
      <c r="U72">
        <v>144373535</v>
      </c>
      <c r="V72">
        <f t="shared" ca="1" si="3"/>
        <v>70.378513862646045</v>
      </c>
      <c r="W72" s="3">
        <f t="shared" ca="1" si="4"/>
        <v>46018</v>
      </c>
      <c r="X72" s="3">
        <f t="shared" si="5"/>
        <v>20312</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5">
        <v>21427700000000</v>
      </c>
      <c r="R73">
        <v>78.5</v>
      </c>
      <c r="S73">
        <v>9.6</v>
      </c>
      <c r="T73">
        <v>36.6</v>
      </c>
      <c r="U73">
        <v>328239523</v>
      </c>
      <c r="V73">
        <f t="shared" ca="1" si="3"/>
        <v>39.271731690622858</v>
      </c>
      <c r="W73" s="3">
        <f t="shared" ca="1" si="4"/>
        <v>46018</v>
      </c>
      <c r="X73" s="3">
        <f t="shared" si="5"/>
        <v>31674</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5">
        <v>19910000000000</v>
      </c>
      <c r="R74">
        <v>77</v>
      </c>
      <c r="S74">
        <v>9.4</v>
      </c>
      <c r="T74">
        <v>59.2</v>
      </c>
      <c r="U74">
        <v>1397715000</v>
      </c>
      <c r="V74">
        <f t="shared" ca="1" si="3"/>
        <v>55.238877481177276</v>
      </c>
      <c r="W74" s="3">
        <f t="shared" ca="1" si="4"/>
        <v>46018</v>
      </c>
      <c r="X74" s="3">
        <f t="shared" si="5"/>
        <v>25842</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5">
        <v>21427700000000</v>
      </c>
      <c r="R75">
        <v>78.5</v>
      </c>
      <c r="S75">
        <v>9.6</v>
      </c>
      <c r="T75">
        <v>36.6</v>
      </c>
      <c r="U75">
        <v>328239523</v>
      </c>
      <c r="V75">
        <f t="shared" ca="1" si="3"/>
        <v>62.857633305810268</v>
      </c>
      <c r="W75" s="3">
        <f t="shared" ca="1" si="4"/>
        <v>46018</v>
      </c>
      <c r="X75" s="3">
        <f t="shared" si="5"/>
        <v>23059</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5">
        <v>21427700000000</v>
      </c>
      <c r="R76">
        <v>78.5</v>
      </c>
      <c r="S76">
        <v>9.6</v>
      </c>
      <c r="T76">
        <v>36.6</v>
      </c>
      <c r="U76">
        <v>328239523</v>
      </c>
      <c r="V76">
        <f t="shared" ca="1" si="3"/>
        <v>92.775494583137075</v>
      </c>
      <c r="W76" s="3">
        <f t="shared" ca="1" si="4"/>
        <v>46018</v>
      </c>
      <c r="X76" s="3">
        <f t="shared" si="5"/>
        <v>12132</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5">
        <v>5081769542380</v>
      </c>
      <c r="R77">
        <v>84.2</v>
      </c>
      <c r="S77">
        <v>11.9</v>
      </c>
      <c r="T77">
        <v>46.7</v>
      </c>
      <c r="U77">
        <v>126226568</v>
      </c>
      <c r="V77">
        <f t="shared" ca="1" si="3"/>
        <v>80.548250802771676</v>
      </c>
      <c r="W77" s="3">
        <f t="shared" ca="1" si="4"/>
        <v>46018</v>
      </c>
      <c r="X77" s="3">
        <f t="shared" si="5"/>
        <v>16598</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5">
        <v>1699876578871</v>
      </c>
      <c r="R78">
        <v>72.7</v>
      </c>
      <c r="S78">
        <v>11.4</v>
      </c>
      <c r="T78">
        <v>46.2</v>
      </c>
      <c r="U78">
        <v>144373535</v>
      </c>
      <c r="V78">
        <f t="shared" ca="1" si="3"/>
        <v>60.252558348294436</v>
      </c>
      <c r="W78" s="3">
        <f t="shared" ca="1" si="4"/>
        <v>46018</v>
      </c>
      <c r="X78" s="3">
        <f t="shared" si="5"/>
        <v>24011</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5">
        <v>1699876578871</v>
      </c>
      <c r="R79">
        <v>72.7</v>
      </c>
      <c r="S79">
        <v>11.4</v>
      </c>
      <c r="T79">
        <v>46.2</v>
      </c>
      <c r="U79">
        <v>144373535</v>
      </c>
      <c r="V79">
        <f t="shared" ca="1" si="3"/>
        <v>75.32101300479124</v>
      </c>
      <c r="W79" s="3">
        <f t="shared" ca="1" si="4"/>
        <v>46018</v>
      </c>
      <c r="X79" s="3">
        <f t="shared" si="5"/>
        <v>18507</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5">
        <v>21427700000000</v>
      </c>
      <c r="R80">
        <v>78.5</v>
      </c>
      <c r="S80">
        <v>9.6</v>
      </c>
      <c r="T80">
        <v>36.6</v>
      </c>
      <c r="U80">
        <v>328239523</v>
      </c>
      <c r="V80">
        <f t="shared" ca="1" si="3"/>
        <v>87.375770020533878</v>
      </c>
      <c r="W80" s="3">
        <f t="shared" ca="1" si="4"/>
        <v>46018</v>
      </c>
      <c r="X80" s="3">
        <f t="shared" si="5"/>
        <v>14104</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5">
        <v>1392680589329</v>
      </c>
      <c r="R81">
        <v>82.7</v>
      </c>
      <c r="S81">
        <v>23</v>
      </c>
      <c r="T81">
        <v>47.4</v>
      </c>
      <c r="U81">
        <v>25766605</v>
      </c>
      <c r="V81">
        <f t="shared" ca="1" si="3"/>
        <v>64.107451244682196</v>
      </c>
      <c r="W81" s="3">
        <f t="shared" ca="1" si="4"/>
        <v>46018</v>
      </c>
      <c r="X81" s="3">
        <f t="shared" si="5"/>
        <v>22603</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5">
        <v>21427700000000</v>
      </c>
      <c r="R82">
        <v>78.5</v>
      </c>
      <c r="S82">
        <v>9.6</v>
      </c>
      <c r="T82">
        <v>36.6</v>
      </c>
      <c r="U82">
        <v>328239523</v>
      </c>
      <c r="V82">
        <f t="shared" ca="1" si="3"/>
        <v>76.386715972123454</v>
      </c>
      <c r="W82" s="3">
        <f t="shared" ca="1" si="4"/>
        <v>46018</v>
      </c>
      <c r="X82" s="3">
        <f t="shared" si="5"/>
        <v>18118</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5">
        <v>19910000000000</v>
      </c>
      <c r="R83">
        <v>77</v>
      </c>
      <c r="S83">
        <v>9.4</v>
      </c>
      <c r="T83">
        <v>59.2</v>
      </c>
      <c r="U83">
        <v>1397715000</v>
      </c>
      <c r="V83">
        <f t="shared" ca="1" si="3"/>
        <v>62.572899917430796</v>
      </c>
      <c r="W83" s="3">
        <f t="shared" ca="1" si="4"/>
        <v>46018</v>
      </c>
      <c r="X83" s="3">
        <f t="shared" si="5"/>
        <v>23163</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5">
        <v>19910000000000</v>
      </c>
      <c r="R84">
        <v>77</v>
      </c>
      <c r="S84">
        <v>9.4</v>
      </c>
      <c r="T84">
        <v>59.2</v>
      </c>
      <c r="U84">
        <v>1397715000</v>
      </c>
      <c r="V84">
        <f t="shared" ca="1" si="3"/>
        <v>57.822043898985129</v>
      </c>
      <c r="W84" s="3">
        <f t="shared" ca="1" si="4"/>
        <v>46018</v>
      </c>
      <c r="X84" s="3">
        <f t="shared" si="5"/>
        <v>24898</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5">
        <v>19910000000000</v>
      </c>
      <c r="R85">
        <v>77</v>
      </c>
      <c r="S85">
        <v>9.4</v>
      </c>
      <c r="T85">
        <v>59.2</v>
      </c>
      <c r="U85">
        <v>1397715000</v>
      </c>
      <c r="V85">
        <f t="shared" ca="1" si="3"/>
        <v>60.696095152603235</v>
      </c>
      <c r="W85" s="3">
        <f t="shared" ca="1" si="4"/>
        <v>46018</v>
      </c>
      <c r="X85" s="3">
        <f t="shared" si="5"/>
        <v>23849</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5">
        <v>19910000000000</v>
      </c>
      <c r="R86">
        <v>77</v>
      </c>
      <c r="S86">
        <v>9.4</v>
      </c>
      <c r="T86">
        <v>59.2</v>
      </c>
      <c r="U86">
        <v>1397715000</v>
      </c>
      <c r="V86">
        <f t="shared" ca="1" si="3"/>
        <v>59.863107460643398</v>
      </c>
      <c r="W86" s="3">
        <f t="shared" ca="1" si="4"/>
        <v>46018</v>
      </c>
      <c r="X86" s="3">
        <f t="shared" si="5"/>
        <v>24153</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5">
        <v>21427700000000</v>
      </c>
      <c r="R87">
        <v>78.5</v>
      </c>
      <c r="S87">
        <v>9.6</v>
      </c>
      <c r="T87">
        <v>36.6</v>
      </c>
      <c r="U87">
        <v>328239523</v>
      </c>
      <c r="V87">
        <f t="shared" ca="1" si="3"/>
        <v>80.044482001014018</v>
      </c>
      <c r="W87" s="3">
        <f t="shared" ca="1" si="4"/>
        <v>46018</v>
      </c>
      <c r="X87" s="3">
        <f t="shared" si="5"/>
        <v>16782</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5">
        <v>21427700000000</v>
      </c>
      <c r="R88">
        <v>78.5</v>
      </c>
      <c r="S88">
        <v>9.6</v>
      </c>
      <c r="T88">
        <v>36.6</v>
      </c>
      <c r="U88">
        <v>328239523</v>
      </c>
      <c r="V88">
        <f t="shared" ca="1" si="3"/>
        <v>68.293627489881757</v>
      </c>
      <c r="W88" s="3">
        <f t="shared" ca="1" si="4"/>
        <v>46018</v>
      </c>
      <c r="X88" s="3">
        <f t="shared" si="5"/>
        <v>21074</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5">
        <v>1699876578871</v>
      </c>
      <c r="R89">
        <v>72.7</v>
      </c>
      <c r="S89">
        <v>11.4</v>
      </c>
      <c r="T89">
        <v>46.2</v>
      </c>
      <c r="U89">
        <v>144373535</v>
      </c>
      <c r="V89">
        <f t="shared" ca="1" si="3"/>
        <v>73.129379555292459</v>
      </c>
      <c r="W89" s="3">
        <f t="shared" ca="1" si="4"/>
        <v>46018</v>
      </c>
      <c r="X89" s="3">
        <f t="shared" si="5"/>
        <v>19307</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5">
        <v>21427700000000</v>
      </c>
      <c r="R90">
        <v>78.5</v>
      </c>
      <c r="S90">
        <v>9.6</v>
      </c>
      <c r="T90">
        <v>36.6</v>
      </c>
      <c r="U90">
        <v>328239523</v>
      </c>
      <c r="V90">
        <f t="shared" ca="1" si="3"/>
        <v>63.942505133470227</v>
      </c>
      <c r="W90" s="3">
        <f t="shared" ca="1" si="4"/>
        <v>46018</v>
      </c>
      <c r="X90" s="3">
        <f t="shared" si="5"/>
        <v>22663</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5">
        <v>2827113184696</v>
      </c>
      <c r="R91">
        <v>81.3</v>
      </c>
      <c r="S91">
        <v>25.5</v>
      </c>
      <c r="T91">
        <v>30.6</v>
      </c>
      <c r="U91">
        <v>66834405</v>
      </c>
      <c r="V91">
        <f t="shared" ca="1" si="3"/>
        <v>75.534565366187536</v>
      </c>
      <c r="W91" s="3">
        <f t="shared" ca="1" si="4"/>
        <v>46018</v>
      </c>
      <c r="X91" s="3">
        <f t="shared" si="5"/>
        <v>18429</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5">
        <v>21427700000000</v>
      </c>
      <c r="R92">
        <v>78.5</v>
      </c>
      <c r="S92">
        <v>9.6</v>
      </c>
      <c r="T92">
        <v>36.6</v>
      </c>
      <c r="U92">
        <v>328239523</v>
      </c>
      <c r="V92">
        <f t="shared" ca="1" si="3"/>
        <v>69.542787859824784</v>
      </c>
      <c r="W92" s="3">
        <f t="shared" ca="1" si="4"/>
        <v>46018</v>
      </c>
      <c r="X92" s="3">
        <f t="shared" si="5"/>
        <v>20617</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5">
        <v>21427700000000</v>
      </c>
      <c r="R93">
        <v>78.5</v>
      </c>
      <c r="S93">
        <v>9.6</v>
      </c>
      <c r="T93">
        <v>36.6</v>
      </c>
      <c r="U93">
        <v>328239523</v>
      </c>
      <c r="V93">
        <f t="shared" ca="1" si="3"/>
        <v>89.8603717336416</v>
      </c>
      <c r="W93" s="3">
        <f t="shared" ca="1" si="4"/>
        <v>46018</v>
      </c>
      <c r="X93" s="3">
        <f t="shared" si="5"/>
        <v>13196</v>
      </c>
    </row>
    <row r="94" spans="1:24" x14ac:dyDescent="0.3">
      <c r="A94">
        <v>94</v>
      </c>
      <c r="B94" t="s">
        <v>272</v>
      </c>
      <c r="C94" t="s">
        <v>458</v>
      </c>
      <c r="D94" t="s">
        <v>74</v>
      </c>
      <c r="E94" t="s">
        <v>459</v>
      </c>
      <c r="F94" t="s">
        <v>449</v>
      </c>
      <c r="G94" t="s">
        <v>272</v>
      </c>
      <c r="H94" t="b">
        <v>0</v>
      </c>
      <c r="I94" t="s">
        <v>1798</v>
      </c>
      <c r="J94" t="s">
        <v>460</v>
      </c>
      <c r="K94" t="s">
        <v>461</v>
      </c>
      <c r="L94">
        <v>17500</v>
      </c>
      <c r="M94">
        <v>1950</v>
      </c>
      <c r="N94">
        <v>3</v>
      </c>
      <c r="O94">
        <v>20</v>
      </c>
      <c r="P94">
        <v>180.44</v>
      </c>
      <c r="Q94" s="5">
        <v>2611000000000</v>
      </c>
      <c r="R94">
        <v>69.400000000000006</v>
      </c>
      <c r="S94">
        <v>11.2</v>
      </c>
      <c r="T94">
        <v>49.7</v>
      </c>
      <c r="U94">
        <v>1366417754</v>
      </c>
      <c r="V94">
        <f t="shared" ca="1" si="3"/>
        <v>75.772758384668037</v>
      </c>
      <c r="W94" s="3">
        <f t="shared" ca="1" si="4"/>
        <v>46018</v>
      </c>
      <c r="X94" s="3">
        <f t="shared" si="5"/>
        <v>18342</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5">
        <v>21427700000000</v>
      </c>
      <c r="R95">
        <v>78.5</v>
      </c>
      <c r="S95">
        <v>9.6</v>
      </c>
      <c r="T95">
        <v>36.6</v>
      </c>
      <c r="U95">
        <v>328239523</v>
      </c>
      <c r="V95">
        <f t="shared" ca="1" si="3"/>
        <v>93.627657715384174</v>
      </c>
      <c r="W95" s="3">
        <f t="shared" ca="1" si="4"/>
        <v>46018</v>
      </c>
      <c r="X95" s="3">
        <f t="shared" si="5"/>
        <v>11820</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5">
        <v>21427700000000</v>
      </c>
      <c r="R96">
        <v>78.5</v>
      </c>
      <c r="S96">
        <v>9.6</v>
      </c>
      <c r="T96">
        <v>36.6</v>
      </c>
      <c r="U96">
        <v>328239523</v>
      </c>
      <c r="V96">
        <f t="shared" ca="1" si="3"/>
        <v>85.928817012606643</v>
      </c>
      <c r="W96" s="3">
        <f t="shared" ca="1" si="4"/>
        <v>46018</v>
      </c>
      <c r="X96" s="3">
        <f t="shared" si="5"/>
        <v>14632</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5">
        <v>21427700000000</v>
      </c>
      <c r="R97">
        <v>78.5</v>
      </c>
      <c r="S97">
        <v>9.6</v>
      </c>
      <c r="T97">
        <v>36.6</v>
      </c>
      <c r="U97">
        <v>328239523</v>
      </c>
      <c r="V97">
        <f t="shared" ca="1" si="3"/>
        <v>94.797400501455371</v>
      </c>
      <c r="W97" s="3">
        <f t="shared" ca="1" si="4"/>
        <v>46018</v>
      </c>
      <c r="X97" s="3">
        <f t="shared" si="5"/>
        <v>11393</v>
      </c>
    </row>
    <row r="98" spans="1:24" x14ac:dyDescent="0.3">
      <c r="A98">
        <v>100</v>
      </c>
      <c r="B98" t="s">
        <v>49</v>
      </c>
      <c r="C98" t="s">
        <v>476</v>
      </c>
      <c r="D98" t="s">
        <v>170</v>
      </c>
      <c r="E98" t="s">
        <v>477</v>
      </c>
      <c r="F98" t="s">
        <v>478</v>
      </c>
      <c r="G98" t="s">
        <v>49</v>
      </c>
      <c r="H98" t="b">
        <v>0</v>
      </c>
      <c r="I98" t="s">
        <v>1798</v>
      </c>
      <c r="J98" t="s">
        <v>479</v>
      </c>
      <c r="K98" t="s">
        <v>480</v>
      </c>
      <c r="L98">
        <v>16700</v>
      </c>
      <c r="M98">
        <v>1953</v>
      </c>
      <c r="N98">
        <v>1</v>
      </c>
      <c r="O98">
        <v>1</v>
      </c>
      <c r="P98">
        <v>99.55</v>
      </c>
      <c r="Q98" s="5">
        <v>703082435360</v>
      </c>
      <c r="R98">
        <v>83.6</v>
      </c>
      <c r="S98">
        <v>10.1</v>
      </c>
      <c r="T98">
        <v>28.8</v>
      </c>
      <c r="U98">
        <v>8574832</v>
      </c>
      <c r="V98">
        <f t="shared" ca="1" si="3"/>
        <v>72.986310617709933</v>
      </c>
      <c r="W98" s="3">
        <f t="shared" ca="1" si="4"/>
        <v>46018</v>
      </c>
      <c r="X98" s="3">
        <f t="shared" si="5"/>
        <v>19360</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5">
        <v>3845630030824</v>
      </c>
      <c r="R99">
        <v>80.900000000000006</v>
      </c>
      <c r="S99">
        <v>11.5</v>
      </c>
      <c r="T99">
        <v>48.8</v>
      </c>
      <c r="U99">
        <v>83132799</v>
      </c>
      <c r="V99">
        <f t="shared" ca="1" si="3"/>
        <v>74.986310870993648</v>
      </c>
      <c r="W99" s="3">
        <f t="shared" ca="1" si="4"/>
        <v>46018</v>
      </c>
      <c r="X99" s="3">
        <f t="shared" si="5"/>
        <v>18629</v>
      </c>
    </row>
    <row r="100" spans="1:24" x14ac:dyDescent="0.3">
      <c r="A100">
        <v>101</v>
      </c>
      <c r="B100" t="s">
        <v>49</v>
      </c>
      <c r="C100" t="s">
        <v>486</v>
      </c>
      <c r="D100" t="s">
        <v>487</v>
      </c>
      <c r="E100" t="s">
        <v>488</v>
      </c>
      <c r="F100" t="s">
        <v>489</v>
      </c>
      <c r="G100" t="s">
        <v>49</v>
      </c>
      <c r="H100" t="b">
        <v>0</v>
      </c>
      <c r="I100" t="s">
        <v>1798</v>
      </c>
      <c r="J100" t="s">
        <v>490</v>
      </c>
      <c r="K100" t="s">
        <v>491</v>
      </c>
      <c r="L100">
        <v>16500</v>
      </c>
      <c r="M100">
        <v>1967</v>
      </c>
      <c r="N100">
        <v>7</v>
      </c>
      <c r="O100">
        <v>4</v>
      </c>
      <c r="P100">
        <v>116.48</v>
      </c>
      <c r="Q100" s="5">
        <v>246489245495</v>
      </c>
      <c r="R100">
        <v>79</v>
      </c>
      <c r="S100">
        <v>14.9</v>
      </c>
      <c r="T100">
        <v>46.1</v>
      </c>
      <c r="U100">
        <v>10669709</v>
      </c>
      <c r="V100">
        <f t="shared" ca="1" si="3"/>
        <v>58.482552204176336</v>
      </c>
      <c r="W100" s="3">
        <f t="shared" ca="1" si="4"/>
        <v>46018</v>
      </c>
      <c r="X100" s="3">
        <f t="shared" si="5"/>
        <v>24657</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5">
        <v>19910000000000</v>
      </c>
      <c r="R101">
        <v>77</v>
      </c>
      <c r="S101">
        <v>9.4</v>
      </c>
      <c r="T101">
        <v>59.2</v>
      </c>
      <c r="U101">
        <v>1397715000</v>
      </c>
      <c r="V101">
        <f t="shared" ca="1" si="3"/>
        <v>74.986310870993648</v>
      </c>
      <c r="W101" s="3">
        <f t="shared" ca="1" si="4"/>
        <v>46018</v>
      </c>
      <c r="X101" s="3">
        <f t="shared" si="5"/>
        <v>18629</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5">
        <v>530832908738</v>
      </c>
      <c r="R102">
        <v>82.5</v>
      </c>
      <c r="S102">
        <v>27.9</v>
      </c>
      <c r="T102">
        <v>49.1</v>
      </c>
      <c r="U102">
        <v>10285453</v>
      </c>
      <c r="V102">
        <f t="shared" ca="1" si="3"/>
        <v>78.230670594351068</v>
      </c>
      <c r="W102" s="3">
        <f t="shared" ca="1" si="4"/>
        <v>46018</v>
      </c>
      <c r="X102" s="3">
        <f t="shared" si="5"/>
        <v>17444</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5">
        <v>21427700000000</v>
      </c>
      <c r="R103">
        <v>78.5</v>
      </c>
      <c r="S103">
        <v>9.6</v>
      </c>
      <c r="T103">
        <v>36.6</v>
      </c>
      <c r="U103">
        <v>328239523</v>
      </c>
      <c r="V103">
        <f t="shared" ca="1" si="3"/>
        <v>70.668723248370796</v>
      </c>
      <c r="W103" s="3">
        <f t="shared" ca="1" si="4"/>
        <v>46018</v>
      </c>
      <c r="X103" s="3">
        <f t="shared" si="5"/>
        <v>20206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5">
        <v>703082435360</v>
      </c>
      <c r="R104">
        <v>83.6</v>
      </c>
      <c r="S104">
        <v>10.1</v>
      </c>
      <c r="T104">
        <v>28.8</v>
      </c>
      <c r="U104">
        <v>8574832</v>
      </c>
      <c r="V104">
        <f t="shared" ca="1" si="3"/>
        <v>57.775501534104322</v>
      </c>
      <c r="W104" s="3">
        <f t="shared" ca="1" si="4"/>
        <v>46018</v>
      </c>
      <c r="X104" s="3">
        <f t="shared" si="5"/>
        <v>24915</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5">
        <v>19910000000000</v>
      </c>
      <c r="R105">
        <v>77</v>
      </c>
      <c r="S105">
        <v>9.4</v>
      </c>
      <c r="T105">
        <v>59.2</v>
      </c>
      <c r="U105">
        <v>1397715000</v>
      </c>
      <c r="V105">
        <f t="shared" ca="1" si="3"/>
        <v>69.937030663329153</v>
      </c>
      <c r="W105" s="3">
        <f t="shared" ca="1" si="4"/>
        <v>46018</v>
      </c>
      <c r="X105" s="3">
        <f t="shared" si="5"/>
        <v>20473</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5">
        <v>703082435360</v>
      </c>
      <c r="R106">
        <v>83.6</v>
      </c>
      <c r="S106">
        <v>10.1</v>
      </c>
      <c r="T106">
        <v>28.8</v>
      </c>
      <c r="U106">
        <v>8574832</v>
      </c>
      <c r="V106">
        <f t="shared" ca="1" si="3"/>
        <v>86.337445322088314</v>
      </c>
      <c r="W106" s="3">
        <f t="shared" ca="1" si="4"/>
        <v>46018</v>
      </c>
      <c r="X106" s="3">
        <f t="shared" si="5"/>
        <v>14483</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5">
        <v>2611000000000</v>
      </c>
      <c r="R107">
        <v>69.400000000000006</v>
      </c>
      <c r="S107">
        <v>11.2</v>
      </c>
      <c r="T107">
        <v>49.7</v>
      </c>
      <c r="U107">
        <v>1366417754</v>
      </c>
      <c r="V107">
        <f t="shared" ca="1" si="3"/>
        <v>70.238884818570924</v>
      </c>
      <c r="W107" s="3">
        <f t="shared" ca="1" si="4"/>
        <v>46018</v>
      </c>
      <c r="X107" s="3">
        <f t="shared" si="5"/>
        <v>20363</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5">
        <v>21427700000000</v>
      </c>
      <c r="R108">
        <v>78.5</v>
      </c>
      <c r="S108">
        <v>9.6</v>
      </c>
      <c r="T108">
        <v>36.6</v>
      </c>
      <c r="U108">
        <v>328239523</v>
      </c>
      <c r="V108">
        <f t="shared" ca="1" si="3"/>
        <v>47.800136892539356</v>
      </c>
      <c r="W108" s="3">
        <f t="shared" ca="1" si="4"/>
        <v>46018</v>
      </c>
      <c r="X108" s="3">
        <f t="shared" si="5"/>
        <v>28559</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5">
        <v>2611000000000</v>
      </c>
      <c r="R109">
        <v>69.400000000000006</v>
      </c>
      <c r="S109">
        <v>11.2</v>
      </c>
      <c r="T109">
        <v>49.7</v>
      </c>
      <c r="U109">
        <v>1366417754</v>
      </c>
      <c r="V109">
        <f t="shared" ca="1" si="3"/>
        <v>70.986310878031844</v>
      </c>
      <c r="W109" s="3">
        <f t="shared" ca="1" si="4"/>
        <v>46018</v>
      </c>
      <c r="X109" s="3">
        <f t="shared" si="5"/>
        <v>20090</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5">
        <v>19910000000000</v>
      </c>
      <c r="R110">
        <v>77</v>
      </c>
      <c r="S110">
        <v>9.4</v>
      </c>
      <c r="T110">
        <v>59.2</v>
      </c>
      <c r="U110">
        <v>1397715000</v>
      </c>
      <c r="V110">
        <f t="shared" ca="1" si="3"/>
        <v>58.98631090487239</v>
      </c>
      <c r="W110" s="3">
        <f t="shared" ca="1" si="4"/>
        <v>46018</v>
      </c>
      <c r="X110" s="3">
        <f t="shared" si="5"/>
        <v>24473</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5">
        <v>543649976166</v>
      </c>
      <c r="R111">
        <v>76.900000000000006</v>
      </c>
      <c r="S111">
        <v>14.9</v>
      </c>
      <c r="T111">
        <v>29.5</v>
      </c>
      <c r="U111">
        <v>69625582</v>
      </c>
      <c r="V111">
        <f t="shared" ca="1" si="3"/>
        <v>86.690625295024702</v>
      </c>
      <c r="W111" s="3">
        <f t="shared" ca="1" si="4"/>
        <v>46018</v>
      </c>
      <c r="X111" s="3">
        <f t="shared" si="5"/>
        <v>14354</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5">
        <v>21427700000000</v>
      </c>
      <c r="R112">
        <v>78.5</v>
      </c>
      <c r="S112">
        <v>9.6</v>
      </c>
      <c r="T112">
        <v>36.6</v>
      </c>
      <c r="U112">
        <v>328239523</v>
      </c>
      <c r="V112">
        <f t="shared" ca="1" si="3"/>
        <v>84.121142820331116</v>
      </c>
      <c r="W112" s="3">
        <f t="shared" ca="1" si="4"/>
        <v>46018</v>
      </c>
      <c r="X112" s="3">
        <f t="shared" si="5"/>
        <v>15293</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5">
        <v>543649976166</v>
      </c>
      <c r="R113">
        <v>76.900000000000006</v>
      </c>
      <c r="S113">
        <v>14.9</v>
      </c>
      <c r="T113">
        <v>29.5</v>
      </c>
      <c r="U113">
        <v>69625582</v>
      </c>
      <c r="V113">
        <f t="shared" ca="1" si="3"/>
        <v>81.652298754632568</v>
      </c>
      <c r="W113" s="3">
        <f t="shared" ca="1" si="4"/>
        <v>46018</v>
      </c>
      <c r="X113" s="3">
        <f t="shared" si="5"/>
        <v>16194</v>
      </c>
    </row>
    <row r="114" spans="1:24" x14ac:dyDescent="0.3">
      <c r="A114">
        <v>119</v>
      </c>
      <c r="B114" t="s">
        <v>103</v>
      </c>
      <c r="C114" t="s">
        <v>543</v>
      </c>
      <c r="D114" t="s">
        <v>226</v>
      </c>
      <c r="E114" t="s">
        <v>227</v>
      </c>
      <c r="F114" t="s">
        <v>544</v>
      </c>
      <c r="G114" t="s">
        <v>103</v>
      </c>
      <c r="H114" t="b">
        <v>0</v>
      </c>
      <c r="I114" t="s">
        <v>1798</v>
      </c>
      <c r="J114" t="s">
        <v>545</v>
      </c>
      <c r="K114" t="s">
        <v>546</v>
      </c>
      <c r="L114">
        <v>14700</v>
      </c>
      <c r="M114">
        <v>1954</v>
      </c>
      <c r="N114">
        <v>6</v>
      </c>
      <c r="O114">
        <v>30</v>
      </c>
      <c r="P114">
        <v>119.62</v>
      </c>
      <c r="Q114" s="5">
        <v>2827113184696</v>
      </c>
      <c r="R114">
        <v>81.3</v>
      </c>
      <c r="S114">
        <v>25.5</v>
      </c>
      <c r="T114">
        <v>30.6</v>
      </c>
      <c r="U114">
        <v>66834405</v>
      </c>
      <c r="V114">
        <f t="shared" ca="1" si="3"/>
        <v>71.493497604380565</v>
      </c>
      <c r="W114" s="3">
        <f t="shared" ca="1" si="4"/>
        <v>46018</v>
      </c>
      <c r="X114" s="3">
        <f t="shared" si="5"/>
        <v>19905</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5">
        <v>19910000000000</v>
      </c>
      <c r="R115">
        <v>77</v>
      </c>
      <c r="S115">
        <v>9.4</v>
      </c>
      <c r="T115">
        <v>59.2</v>
      </c>
      <c r="U115">
        <v>1397715000</v>
      </c>
      <c r="V115">
        <f t="shared" ca="1" si="3"/>
        <v>63.600273785078713</v>
      </c>
      <c r="W115" s="3">
        <f t="shared" ca="1" si="4"/>
        <v>46018</v>
      </c>
      <c r="X115" s="3">
        <f t="shared" si="5"/>
        <v>22788</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5">
        <v>19910000000000</v>
      </c>
      <c r="R116">
        <v>77</v>
      </c>
      <c r="S116">
        <v>9.4</v>
      </c>
      <c r="T116">
        <v>59.2</v>
      </c>
      <c r="U116">
        <v>1397715000</v>
      </c>
      <c r="V116">
        <f t="shared" ca="1" si="3"/>
        <v>61.82204362801378</v>
      </c>
      <c r="W116" s="3">
        <f t="shared" ca="1" si="4"/>
        <v>46018</v>
      </c>
      <c r="X116" s="3">
        <f t="shared" si="5"/>
        <v>23437</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5">
        <v>372062527489</v>
      </c>
      <c r="R117">
        <v>83.1</v>
      </c>
      <c r="S117">
        <v>13.1</v>
      </c>
      <c r="T117">
        <v>21</v>
      </c>
      <c r="U117">
        <v>5703569</v>
      </c>
      <c r="V117">
        <f t="shared" ca="1" si="3"/>
        <v>98.501714601769919</v>
      </c>
      <c r="W117" s="3">
        <f t="shared" ca="1" si="4"/>
        <v>46018</v>
      </c>
      <c r="X117" s="3">
        <f t="shared" si="5"/>
        <v>10040</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5">
        <v>2611000000000</v>
      </c>
      <c r="R118">
        <v>69.400000000000006</v>
      </c>
      <c r="S118">
        <v>11.2</v>
      </c>
      <c r="T118">
        <v>49.7</v>
      </c>
      <c r="U118">
        <v>1366417754</v>
      </c>
      <c r="V118">
        <f t="shared" ca="1" si="3"/>
        <v>58.537308584686777</v>
      </c>
      <c r="W118" s="3">
        <f t="shared" ca="1" si="4"/>
        <v>46018</v>
      </c>
      <c r="X118" s="3">
        <f t="shared" si="5"/>
        <v>24637</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5">
        <v>448120428859</v>
      </c>
      <c r="R119">
        <v>54.3</v>
      </c>
      <c r="S119">
        <v>1.5</v>
      </c>
      <c r="T119">
        <v>34.799999999999997</v>
      </c>
      <c r="U119">
        <v>200963599</v>
      </c>
      <c r="V119">
        <f t="shared" ca="1" si="3"/>
        <v>68.715260693595752</v>
      </c>
      <c r="W119" s="3">
        <f t="shared" ca="1" si="4"/>
        <v>46018</v>
      </c>
      <c r="X119" s="3">
        <f t="shared" si="5"/>
        <v>20920</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5">
        <v>2827113184696</v>
      </c>
      <c r="R120">
        <v>81.3</v>
      </c>
      <c r="S120">
        <v>25.5</v>
      </c>
      <c r="T120">
        <v>30.6</v>
      </c>
      <c r="U120">
        <v>66834405</v>
      </c>
      <c r="V120">
        <f t="shared" ca="1" si="3"/>
        <v>70.236146994177304</v>
      </c>
      <c r="W120" s="3">
        <f t="shared" ca="1" si="4"/>
        <v>46018</v>
      </c>
      <c r="X120" s="3">
        <f t="shared" si="5"/>
        <v>20364</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5">
        <v>19910000000000</v>
      </c>
      <c r="R121">
        <v>77</v>
      </c>
      <c r="S121">
        <v>9.4</v>
      </c>
      <c r="T121">
        <v>59.2</v>
      </c>
      <c r="U121">
        <v>1397715000</v>
      </c>
      <c r="V121">
        <f t="shared" ca="1" si="3"/>
        <v>60.321005385996408</v>
      </c>
      <c r="W121" s="3">
        <f t="shared" ca="1" si="4"/>
        <v>46018</v>
      </c>
      <c r="X121" s="3">
        <f t="shared" si="5"/>
        <v>23986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5">
        <v>2827113184696</v>
      </c>
      <c r="R122">
        <v>81.3</v>
      </c>
      <c r="S122">
        <v>25.5</v>
      </c>
      <c r="T122">
        <v>30.6</v>
      </c>
      <c r="U122">
        <v>66834405</v>
      </c>
      <c r="V122">
        <f t="shared" ca="1" si="3"/>
        <v>80.901436538786541</v>
      </c>
      <c r="W122" s="3">
        <f t="shared" ca="1" si="4"/>
        <v>46018</v>
      </c>
      <c r="X122" s="3">
        <f t="shared" si="5"/>
        <v>16469</v>
      </c>
    </row>
    <row r="123" spans="1:24" x14ac:dyDescent="0.3">
      <c r="A123">
        <v>130</v>
      </c>
      <c r="B123" t="s">
        <v>580</v>
      </c>
      <c r="C123" t="s">
        <v>581</v>
      </c>
      <c r="D123" t="s">
        <v>32</v>
      </c>
      <c r="E123" t="s">
        <v>582</v>
      </c>
      <c r="F123" t="s">
        <v>583</v>
      </c>
      <c r="G123" t="s">
        <v>580</v>
      </c>
      <c r="H123" t="b">
        <v>1</v>
      </c>
      <c r="I123" t="s">
        <v>1798</v>
      </c>
      <c r="J123" t="s">
        <v>584</v>
      </c>
      <c r="K123" t="s">
        <v>585</v>
      </c>
      <c r="L123">
        <v>13700</v>
      </c>
      <c r="M123">
        <v>1947</v>
      </c>
      <c r="N123">
        <v>3</v>
      </c>
      <c r="O123">
        <v>2</v>
      </c>
      <c r="P123">
        <v>117.24</v>
      </c>
      <c r="Q123" s="5">
        <v>21427700000000</v>
      </c>
      <c r="R123">
        <v>78.5</v>
      </c>
      <c r="S123">
        <v>9.6</v>
      </c>
      <c r="T123">
        <v>36.6</v>
      </c>
      <c r="U123">
        <v>328239523</v>
      </c>
      <c r="V123">
        <f t="shared" ca="1" si="3"/>
        <v>78.82204124068619</v>
      </c>
      <c r="W123" s="3">
        <f t="shared" ca="1" si="4"/>
        <v>46018</v>
      </c>
      <c r="X123" s="3">
        <f t="shared" si="5"/>
        <v>17228</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5">
        <v>21427700000000</v>
      </c>
      <c r="R124">
        <v>78.5</v>
      </c>
      <c r="S124">
        <v>9.6</v>
      </c>
      <c r="T124">
        <v>36.6</v>
      </c>
      <c r="U124">
        <v>328239523</v>
      </c>
      <c r="V124">
        <f t="shared" ca="1" si="3"/>
        <v>49.838471225976015</v>
      </c>
      <c r="W124" s="3">
        <f t="shared" ca="1" si="4"/>
        <v>46018</v>
      </c>
      <c r="X124" s="3">
        <f t="shared" si="5"/>
        <v>27814</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5">
        <v>21427700000000</v>
      </c>
      <c r="R125">
        <v>78.5</v>
      </c>
      <c r="S125">
        <v>9.6</v>
      </c>
      <c r="T125">
        <v>36.6</v>
      </c>
      <c r="U125">
        <v>328239523</v>
      </c>
      <c r="V125">
        <f t="shared" ca="1" si="3"/>
        <v>83.206023271731695</v>
      </c>
      <c r="W125" s="3">
        <f t="shared" ca="1" si="4"/>
        <v>46018</v>
      </c>
      <c r="X125" s="3">
        <f t="shared" si="5"/>
        <v>15627</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5">
        <v>21427700000000</v>
      </c>
      <c r="R126">
        <v>78.5</v>
      </c>
      <c r="S126">
        <v>9.6</v>
      </c>
      <c r="T126">
        <v>36.6</v>
      </c>
      <c r="U126">
        <v>328239523</v>
      </c>
      <c r="V126">
        <f t="shared" ca="1" si="3"/>
        <v>83.414099931553736</v>
      </c>
      <c r="W126" s="3">
        <f t="shared" ca="1" si="4"/>
        <v>46018</v>
      </c>
      <c r="X126" s="3">
        <f t="shared" si="5"/>
        <v>15551</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5">
        <v>19910000000000</v>
      </c>
      <c r="R127">
        <v>77</v>
      </c>
      <c r="S127">
        <v>9.4</v>
      </c>
      <c r="T127">
        <v>59.2</v>
      </c>
      <c r="U127">
        <v>1397715000</v>
      </c>
      <c r="V127">
        <f t="shared" ca="1" si="3"/>
        <v>62.997946611909654</v>
      </c>
      <c r="W127" s="3">
        <f t="shared" ca="1" si="4"/>
        <v>46018</v>
      </c>
      <c r="X127" s="3">
        <f t="shared" si="5"/>
        <v>23008</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5">
        <v>1392680589329</v>
      </c>
      <c r="R128">
        <v>82.7</v>
      </c>
      <c r="S128">
        <v>23</v>
      </c>
      <c r="T128">
        <v>47.4</v>
      </c>
      <c r="U128">
        <v>25766605</v>
      </c>
      <c r="V128">
        <f t="shared" ca="1" si="3"/>
        <v>92.81930051813471</v>
      </c>
      <c r="W128" s="3">
        <f t="shared" ca="1" si="4"/>
        <v>46018</v>
      </c>
      <c r="X128" s="3">
        <f t="shared" si="5"/>
        <v>12116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5">
        <v>2611000000000</v>
      </c>
      <c r="R129">
        <v>69.400000000000006</v>
      </c>
      <c r="S129">
        <v>11.2</v>
      </c>
      <c r="T129">
        <v>49.7</v>
      </c>
      <c r="U129">
        <v>1366417754</v>
      </c>
      <c r="V129">
        <f t="shared" ca="1" si="3"/>
        <v>66.786449820202691</v>
      </c>
      <c r="W129" s="3">
        <f t="shared" ca="1" si="4"/>
        <v>46018</v>
      </c>
      <c r="X129" s="3">
        <f t="shared" si="5"/>
        <v>21624</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5">
        <v>21427700000000</v>
      </c>
      <c r="R130">
        <v>78.5</v>
      </c>
      <c r="S130">
        <v>9.6</v>
      </c>
      <c r="T130">
        <v>36.6</v>
      </c>
      <c r="U130">
        <v>328239523</v>
      </c>
      <c r="V130">
        <f t="shared" ref="V130:V193" ca="1" si="6">YEARFRAC(X130,W130,1)</f>
        <v>78.414105007797616</v>
      </c>
      <c r="W130" s="3">
        <f t="shared" ca="1" si="4"/>
        <v>46018</v>
      </c>
      <c r="X130" s="3">
        <f t="shared" si="5"/>
        <v>17377</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5">
        <v>2827113184696</v>
      </c>
      <c r="R131">
        <v>81.3</v>
      </c>
      <c r="S131">
        <v>25.5</v>
      </c>
      <c r="T131">
        <v>30.6</v>
      </c>
      <c r="U131">
        <v>66834405</v>
      </c>
      <c r="V131">
        <f t="shared" ca="1" si="6"/>
        <v>61.682416320763053</v>
      </c>
      <c r="W131" s="3">
        <f t="shared" ref="W131:W194" ca="1" si="7">TODAY()</f>
        <v>46018</v>
      </c>
      <c r="X131" s="3">
        <f t="shared" ref="X131:X194" si="8">DATE(M131,N131,O131)</f>
        <v>23488</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5">
        <v>543649976166</v>
      </c>
      <c r="R132">
        <v>76.900000000000006</v>
      </c>
      <c r="S132">
        <v>14.9</v>
      </c>
      <c r="T132">
        <v>29.5</v>
      </c>
      <c r="U132">
        <v>69625582</v>
      </c>
      <c r="V132">
        <f t="shared" ca="1" si="6"/>
        <v>60.460637342908441</v>
      </c>
      <c r="W132" s="3">
        <f t="shared" ca="1" si="7"/>
        <v>46018</v>
      </c>
      <c r="X132" s="3">
        <f t="shared" si="8"/>
        <v>23935</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5">
        <v>19910000000000</v>
      </c>
      <c r="R133">
        <v>77</v>
      </c>
      <c r="S133">
        <v>9.4</v>
      </c>
      <c r="T133">
        <v>59.2</v>
      </c>
      <c r="U133">
        <v>1397715000</v>
      </c>
      <c r="V133">
        <f t="shared" ca="1" si="6"/>
        <v>52.901436098770532</v>
      </c>
      <c r="W133" s="3">
        <f t="shared" ca="1" si="7"/>
        <v>46018</v>
      </c>
      <c r="X133" s="3">
        <f t="shared" si="8"/>
        <v>26696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5">
        <v>19910000000000</v>
      </c>
      <c r="R134">
        <v>77</v>
      </c>
      <c r="S134">
        <v>9.4</v>
      </c>
      <c r="T134">
        <v>59.2</v>
      </c>
      <c r="U134">
        <v>1397715000</v>
      </c>
      <c r="V134">
        <f t="shared" ca="1" si="6"/>
        <v>72.219705209466298</v>
      </c>
      <c r="W134" s="3">
        <f t="shared" ca="1" si="7"/>
        <v>46018</v>
      </c>
      <c r="X134" s="3">
        <f t="shared" si="8"/>
        <v>19640</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5">
        <v>21427700000000</v>
      </c>
      <c r="R135">
        <v>78.5</v>
      </c>
      <c r="S135">
        <v>9.6</v>
      </c>
      <c r="T135">
        <v>36.6</v>
      </c>
      <c r="U135">
        <v>328239523</v>
      </c>
      <c r="V135">
        <f t="shared" ca="1" si="6"/>
        <v>75.444216290212182</v>
      </c>
      <c r="W135" s="3">
        <f t="shared" ca="1" si="7"/>
        <v>46018</v>
      </c>
      <c r="X135" s="3">
        <f t="shared" si="8"/>
        <v>18462</v>
      </c>
    </row>
    <row r="136" spans="1:24" x14ac:dyDescent="0.3">
      <c r="A136">
        <v>145</v>
      </c>
      <c r="B136" t="s">
        <v>38</v>
      </c>
      <c r="C136" t="s">
        <v>638</v>
      </c>
      <c r="D136" t="s">
        <v>32</v>
      </c>
      <c r="E136" t="s">
        <v>89</v>
      </c>
      <c r="F136" t="s">
        <v>639</v>
      </c>
      <c r="G136" t="s">
        <v>38</v>
      </c>
      <c r="H136" t="b">
        <v>0</v>
      </c>
      <c r="I136" t="s">
        <v>1798</v>
      </c>
      <c r="J136" t="s">
        <v>640</v>
      </c>
      <c r="K136" t="s">
        <v>641</v>
      </c>
      <c r="L136">
        <v>12000</v>
      </c>
      <c r="M136">
        <v>1963</v>
      </c>
      <c r="N136">
        <v>11</v>
      </c>
      <c r="O136">
        <v>6</v>
      </c>
      <c r="P136">
        <v>117.24</v>
      </c>
      <c r="Q136" s="5">
        <v>21427700000000</v>
      </c>
      <c r="R136">
        <v>78.5</v>
      </c>
      <c r="S136">
        <v>9.6</v>
      </c>
      <c r="T136">
        <v>36.6</v>
      </c>
      <c r="U136">
        <v>328239523</v>
      </c>
      <c r="V136">
        <f t="shared" ca="1" si="6"/>
        <v>62.140324192777371</v>
      </c>
      <c r="W136" s="3">
        <f t="shared" ca="1" si="7"/>
        <v>46018</v>
      </c>
      <c r="X136" s="3">
        <f t="shared" si="8"/>
        <v>23321</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5">
        <v>21427700000000</v>
      </c>
      <c r="R137">
        <v>78.5</v>
      </c>
      <c r="S137">
        <v>9.6</v>
      </c>
      <c r="T137">
        <v>36.6</v>
      </c>
      <c r="U137">
        <v>328239523</v>
      </c>
      <c r="V137">
        <f t="shared" ca="1" si="6"/>
        <v>85.630396026996053</v>
      </c>
      <c r="W137" s="3">
        <f t="shared" ca="1" si="7"/>
        <v>46018</v>
      </c>
      <c r="X137" s="3">
        <f t="shared" si="8"/>
        <v>14741</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5">
        <v>421142267938</v>
      </c>
      <c r="R138">
        <v>77.8</v>
      </c>
      <c r="S138">
        <v>0.1</v>
      </c>
      <c r="T138">
        <v>15.9</v>
      </c>
      <c r="U138">
        <v>9770529</v>
      </c>
      <c r="V138">
        <f t="shared" ca="1" si="6"/>
        <v>41.211524672446387</v>
      </c>
      <c r="W138" s="3">
        <f t="shared" ca="1" si="7"/>
        <v>46018</v>
      </c>
      <c r="X138" s="3">
        <f t="shared" si="8"/>
        <v>30965</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5">
        <v>3845630030824</v>
      </c>
      <c r="R139">
        <v>80.900000000000006</v>
      </c>
      <c r="S139">
        <v>11.5</v>
      </c>
      <c r="T139">
        <v>48.8</v>
      </c>
      <c r="U139">
        <v>83132799</v>
      </c>
      <c r="V139">
        <f t="shared" ca="1" si="6"/>
        <v>75.860369609856264</v>
      </c>
      <c r="W139" s="3">
        <f t="shared" ca="1" si="7"/>
        <v>46018</v>
      </c>
      <c r="X139" s="3">
        <f t="shared" si="8"/>
        <v>18310</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5">
        <v>3845630030824</v>
      </c>
      <c r="R140">
        <v>80.900000000000006</v>
      </c>
      <c r="S140">
        <v>11.5</v>
      </c>
      <c r="T140">
        <v>48.8</v>
      </c>
      <c r="U140">
        <v>83132799</v>
      </c>
      <c r="V140">
        <f t="shared" ca="1" si="6"/>
        <v>75.860369609856264</v>
      </c>
      <c r="W140" s="3">
        <f t="shared" ca="1" si="7"/>
        <v>46018</v>
      </c>
      <c r="X140" s="3">
        <f t="shared" si="8"/>
        <v>18310</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5">
        <v>19910000000000</v>
      </c>
      <c r="R141">
        <v>77</v>
      </c>
      <c r="S141">
        <v>9.4</v>
      </c>
      <c r="T141">
        <v>59.2</v>
      </c>
      <c r="U141">
        <v>1397715000</v>
      </c>
      <c r="V141">
        <f t="shared" ca="1" si="6"/>
        <v>61.986311048308757</v>
      </c>
      <c r="W141" s="3">
        <f t="shared" ca="1" si="7"/>
        <v>46018</v>
      </c>
      <c r="X141" s="3">
        <f t="shared" si="8"/>
        <v>23377</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5">
        <v>21427700000000</v>
      </c>
      <c r="R142">
        <v>78.5</v>
      </c>
      <c r="S142">
        <v>9.6</v>
      </c>
      <c r="T142">
        <v>36.6</v>
      </c>
      <c r="U142">
        <v>328239523</v>
      </c>
      <c r="V142">
        <f t="shared" ca="1" si="6"/>
        <v>53.43327925370108</v>
      </c>
      <c r="W142" s="3">
        <f t="shared" ca="1" si="7"/>
        <v>46018</v>
      </c>
      <c r="X142" s="3">
        <f t="shared" si="8"/>
        <v>26501</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5">
        <v>21427700000000</v>
      </c>
      <c r="R143">
        <v>78.5</v>
      </c>
      <c r="S143">
        <v>9.6</v>
      </c>
      <c r="T143">
        <v>36.6</v>
      </c>
      <c r="U143">
        <v>328239523</v>
      </c>
      <c r="V143">
        <f t="shared" ca="1" si="6"/>
        <v>77.238890838890839</v>
      </c>
      <c r="W143" s="3">
        <f t="shared" ca="1" si="7"/>
        <v>46018</v>
      </c>
      <c r="X143" s="3">
        <f t="shared" si="8"/>
        <v>17806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5">
        <v>395098666122</v>
      </c>
      <c r="R144">
        <v>82.8</v>
      </c>
      <c r="S144">
        <v>23.1</v>
      </c>
      <c r="T144">
        <v>25.3</v>
      </c>
      <c r="U144">
        <v>9053300</v>
      </c>
      <c r="V144">
        <f t="shared" ca="1" si="6"/>
        <v>72.301841503206688</v>
      </c>
      <c r="W144" s="3">
        <f t="shared" ca="1" si="7"/>
        <v>46018</v>
      </c>
      <c r="X144" s="3">
        <f t="shared" si="8"/>
        <v>19610</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5">
        <v>1392680589329</v>
      </c>
      <c r="R145">
        <v>82.7</v>
      </c>
      <c r="S145">
        <v>23</v>
      </c>
      <c r="T145">
        <v>47.4</v>
      </c>
      <c r="U145">
        <v>25766605</v>
      </c>
      <c r="V145">
        <f t="shared" ca="1" si="6"/>
        <v>65.709793835815319</v>
      </c>
      <c r="W145" s="3">
        <f t="shared" ca="1" si="7"/>
        <v>46018</v>
      </c>
      <c r="X145" s="3">
        <f t="shared" si="8"/>
        <v>22017</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5">
        <v>703082435360</v>
      </c>
      <c r="R146">
        <v>83.6</v>
      </c>
      <c r="S146">
        <v>10.1</v>
      </c>
      <c r="T146">
        <v>28.8</v>
      </c>
      <c r="U146">
        <v>8574832</v>
      </c>
      <c r="V146">
        <f t="shared" ca="1" si="6"/>
        <v>60.652289048473968</v>
      </c>
      <c r="W146" s="3">
        <f t="shared" ca="1" si="7"/>
        <v>46018</v>
      </c>
      <c r="X146" s="3">
        <f t="shared" si="8"/>
        <v>23865</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5">
        <v>2001244392042</v>
      </c>
      <c r="R147">
        <v>82.9</v>
      </c>
      <c r="S147">
        <v>24.3</v>
      </c>
      <c r="T147">
        <v>59.1</v>
      </c>
      <c r="U147">
        <v>60297396</v>
      </c>
      <c r="V147">
        <f t="shared" ca="1" si="6"/>
        <v>91.463381245722104</v>
      </c>
      <c r="W147" s="3">
        <f t="shared" ca="1" si="7"/>
        <v>46018</v>
      </c>
      <c r="X147" s="3">
        <f t="shared" si="8"/>
        <v>12611</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5">
        <v>351431649241</v>
      </c>
      <c r="R148">
        <v>63.9</v>
      </c>
      <c r="S148">
        <v>27.5</v>
      </c>
      <c r="T148">
        <v>29.2</v>
      </c>
      <c r="U148">
        <v>58558270</v>
      </c>
      <c r="V148">
        <f t="shared" ca="1" si="6"/>
        <v>75.572895277207394</v>
      </c>
      <c r="W148" s="3">
        <f t="shared" ca="1" si="7"/>
        <v>46018</v>
      </c>
      <c r="X148" s="3">
        <f t="shared" si="8"/>
        <v>18415</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5">
        <v>19910000000000</v>
      </c>
      <c r="R149">
        <v>77</v>
      </c>
      <c r="S149">
        <v>9.4</v>
      </c>
      <c r="T149">
        <v>59.2</v>
      </c>
      <c r="U149">
        <v>1397715000</v>
      </c>
      <c r="V149">
        <f t="shared" ca="1" si="6"/>
        <v>53.986311093084574</v>
      </c>
      <c r="W149" s="3">
        <f t="shared" ca="1" si="7"/>
        <v>46018</v>
      </c>
      <c r="X149" s="3">
        <f t="shared" si="8"/>
        <v>26299</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5">
        <v>21427700000000</v>
      </c>
      <c r="R150">
        <v>78.5</v>
      </c>
      <c r="S150">
        <v>9.6</v>
      </c>
      <c r="T150">
        <v>36.6</v>
      </c>
      <c r="U150">
        <v>328239523</v>
      </c>
      <c r="V150">
        <f t="shared" ca="1" si="6"/>
        <v>85.997954495389749</v>
      </c>
      <c r="W150" s="3">
        <f t="shared" ca="1" si="7"/>
        <v>46018</v>
      </c>
      <c r="X150" s="3">
        <f t="shared" si="8"/>
        <v>14607</v>
      </c>
    </row>
    <row r="151" spans="1:24" x14ac:dyDescent="0.3">
      <c r="A151">
        <v>161</v>
      </c>
      <c r="B151" t="s">
        <v>21</v>
      </c>
      <c r="C151" t="s">
        <v>697</v>
      </c>
      <c r="D151" t="s">
        <v>32</v>
      </c>
      <c r="E151" t="s">
        <v>433</v>
      </c>
      <c r="F151" t="s">
        <v>698</v>
      </c>
      <c r="G151" t="s">
        <v>21</v>
      </c>
      <c r="H151" t="b">
        <v>1</v>
      </c>
      <c r="I151" t="s">
        <v>1798</v>
      </c>
      <c r="J151" t="s">
        <v>699</v>
      </c>
      <c r="K151" t="s">
        <v>700</v>
      </c>
      <c r="L151">
        <v>10900</v>
      </c>
      <c r="M151">
        <v>1937</v>
      </c>
      <c r="N151">
        <v>6</v>
      </c>
      <c r="O151">
        <v>17</v>
      </c>
      <c r="P151">
        <v>117.24</v>
      </c>
      <c r="Q151" s="5">
        <v>21427700000000</v>
      </c>
      <c r="R151">
        <v>78.5</v>
      </c>
      <c r="S151">
        <v>9.6</v>
      </c>
      <c r="T151">
        <v>36.6</v>
      </c>
      <c r="U151">
        <v>328239523</v>
      </c>
      <c r="V151">
        <f t="shared" ca="1" si="6"/>
        <v>88.529086043006131</v>
      </c>
      <c r="W151" s="3">
        <f t="shared" ca="1" si="7"/>
        <v>46018</v>
      </c>
      <c r="X151" s="3">
        <f t="shared" si="8"/>
        <v>13683</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5">
        <v>1258286717125</v>
      </c>
      <c r="R152">
        <v>75</v>
      </c>
      <c r="S152">
        <v>13.1</v>
      </c>
      <c r="T152">
        <v>55.1</v>
      </c>
      <c r="U152">
        <v>126014024</v>
      </c>
      <c r="V152">
        <f t="shared" ca="1" si="6"/>
        <v>70.189603979485597</v>
      </c>
      <c r="W152" s="3">
        <f t="shared" ca="1" si="7"/>
        <v>46018</v>
      </c>
      <c r="X152" s="3">
        <f t="shared" si="8"/>
        <v>20381</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5">
        <v>21427700000000</v>
      </c>
      <c r="R153">
        <v>78.5</v>
      </c>
      <c r="S153">
        <v>9.6</v>
      </c>
      <c r="T153">
        <v>36.6</v>
      </c>
      <c r="U153">
        <v>328239523</v>
      </c>
      <c r="V153">
        <f t="shared" ca="1" si="6"/>
        <v>96.394930706483379</v>
      </c>
      <c r="W153" s="3">
        <f t="shared" ca="1" si="7"/>
        <v>46018</v>
      </c>
      <c r="X153" s="3">
        <f t="shared" si="8"/>
        <v>10810</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5">
        <v>21427700000000</v>
      </c>
      <c r="R154">
        <v>78.5</v>
      </c>
      <c r="S154">
        <v>9.6</v>
      </c>
      <c r="T154">
        <v>36.6</v>
      </c>
      <c r="U154">
        <v>328239523</v>
      </c>
      <c r="V154">
        <f t="shared" ca="1" si="6"/>
        <v>84.561940346582489</v>
      </c>
      <c r="W154" s="3">
        <f t="shared" ca="1" si="7"/>
        <v>46018</v>
      </c>
      <c r="X154" s="3">
        <f t="shared" si="8"/>
        <v>15132</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5">
        <v>1839758040766</v>
      </c>
      <c r="R155">
        <v>75.7</v>
      </c>
      <c r="S155">
        <v>14.2</v>
      </c>
      <c r="T155">
        <v>65.099999999999994</v>
      </c>
      <c r="U155">
        <v>212559417</v>
      </c>
      <c r="V155">
        <f t="shared" ca="1" si="6"/>
        <v>75.986310746064333</v>
      </c>
      <c r="W155" s="3">
        <f t="shared" ca="1" si="7"/>
        <v>46018</v>
      </c>
      <c r="X155" s="3">
        <f t="shared" si="8"/>
        <v>18264</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5">
        <v>1699876578871</v>
      </c>
      <c r="R156">
        <v>72.7</v>
      </c>
      <c r="S156">
        <v>11.4</v>
      </c>
      <c r="T156">
        <v>46.2</v>
      </c>
      <c r="U156">
        <v>144373535</v>
      </c>
      <c r="V156">
        <f t="shared" ca="1" si="6"/>
        <v>59.794661190965094</v>
      </c>
      <c r="W156" s="3">
        <f t="shared" ca="1" si="7"/>
        <v>46018</v>
      </c>
      <c r="X156" s="3">
        <f t="shared" si="8"/>
        <v>24178</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5">
        <v>19910000000000</v>
      </c>
      <c r="R157">
        <v>77</v>
      </c>
      <c r="S157">
        <v>9.4</v>
      </c>
      <c r="T157">
        <v>59.2</v>
      </c>
      <c r="U157">
        <v>1397715000</v>
      </c>
      <c r="V157">
        <f t="shared" ca="1" si="6"/>
        <v>41.986311192229969</v>
      </c>
      <c r="W157" s="3">
        <f t="shared" ca="1" si="7"/>
        <v>46018</v>
      </c>
      <c r="X157" s="3">
        <f t="shared" si="8"/>
        <v>30682</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5">
        <v>421142267938</v>
      </c>
      <c r="R158">
        <v>77.8</v>
      </c>
      <c r="S158">
        <v>0.1</v>
      </c>
      <c r="T158">
        <v>15.9</v>
      </c>
      <c r="U158">
        <v>9770529</v>
      </c>
      <c r="V158">
        <f t="shared" ca="1" si="6"/>
        <v>48.296362518857912</v>
      </c>
      <c r="W158" s="3">
        <f t="shared" ca="1" si="7"/>
        <v>46018</v>
      </c>
      <c r="X158" s="3">
        <f t="shared" si="8"/>
        <v>28378</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5">
        <v>21427700000000</v>
      </c>
      <c r="R159">
        <v>78.5</v>
      </c>
      <c r="S159">
        <v>9.6</v>
      </c>
      <c r="T159">
        <v>36.6</v>
      </c>
      <c r="U159">
        <v>328239523</v>
      </c>
      <c r="V159">
        <f t="shared" ca="1" si="6"/>
        <v>73.074623552480659</v>
      </c>
      <c r="W159" s="3">
        <f t="shared" ca="1" si="7"/>
        <v>46018</v>
      </c>
      <c r="X159" s="3">
        <f t="shared" si="8"/>
        <v>19327</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5">
        <v>1392680589329</v>
      </c>
      <c r="R160">
        <v>82.7</v>
      </c>
      <c r="S160">
        <v>23</v>
      </c>
      <c r="T160">
        <v>47.4</v>
      </c>
      <c r="U160">
        <v>25766605</v>
      </c>
      <c r="V160">
        <f t="shared" ca="1" si="6"/>
        <v>46.110211452204815</v>
      </c>
      <c r="W160" s="3">
        <f t="shared" ca="1" si="7"/>
        <v>46018</v>
      </c>
      <c r="X160" s="3">
        <f t="shared" si="8"/>
        <v>29176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5">
        <v>21427700000000</v>
      </c>
      <c r="R161">
        <v>78.5</v>
      </c>
      <c r="S161">
        <v>9.6</v>
      </c>
      <c r="T161">
        <v>36.6</v>
      </c>
      <c r="U161">
        <v>328239523</v>
      </c>
      <c r="V161">
        <f t="shared" ca="1" si="6"/>
        <v>63.356605065023956</v>
      </c>
      <c r="W161" s="3">
        <f t="shared" ca="1" si="7"/>
        <v>46018</v>
      </c>
      <c r="X161" s="3">
        <f t="shared" si="8"/>
        <v>22877</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5">
        <v>21427700000000</v>
      </c>
      <c r="R162">
        <v>78.5</v>
      </c>
      <c r="S162">
        <v>9.6</v>
      </c>
      <c r="T162">
        <v>36.6</v>
      </c>
      <c r="U162">
        <v>328239523</v>
      </c>
      <c r="V162">
        <f t="shared" ca="1" si="6"/>
        <v>85.263529861199544</v>
      </c>
      <c r="W162" s="3">
        <f t="shared" ca="1" si="7"/>
        <v>46018</v>
      </c>
      <c r="X162" s="3">
        <f t="shared" si="8"/>
        <v>14875</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5">
        <v>21427700000000</v>
      </c>
      <c r="R163">
        <v>78.5</v>
      </c>
      <c r="S163">
        <v>9.6</v>
      </c>
      <c r="T163">
        <v>36.6</v>
      </c>
      <c r="U163">
        <v>328239523</v>
      </c>
      <c r="V163">
        <f t="shared" ca="1" si="6"/>
        <v>66.813828048381822</v>
      </c>
      <c r="W163" s="3">
        <f t="shared" ca="1" si="7"/>
        <v>46018</v>
      </c>
      <c r="X163" s="3">
        <f t="shared" si="8"/>
        <v>21614</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5">
        <v>1699876578871</v>
      </c>
      <c r="R164">
        <v>72.7</v>
      </c>
      <c r="S164">
        <v>11.4</v>
      </c>
      <c r="T164">
        <v>46.2</v>
      </c>
      <c r="U164">
        <v>144373535</v>
      </c>
      <c r="V164">
        <f t="shared" ca="1" si="6"/>
        <v>77.203299403299397</v>
      </c>
      <c r="W164" s="3">
        <f t="shared" ca="1" si="7"/>
        <v>46018</v>
      </c>
      <c r="X164" s="3">
        <f t="shared" si="8"/>
        <v>17819</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5">
        <v>372062527489</v>
      </c>
      <c r="R165">
        <v>83.1</v>
      </c>
      <c r="S165">
        <v>13.1</v>
      </c>
      <c r="T165">
        <v>21</v>
      </c>
      <c r="U165">
        <v>5703569</v>
      </c>
      <c r="V165">
        <f t="shared" ca="1" si="6"/>
        <v>43.775496235455165</v>
      </c>
      <c r="W165" s="3">
        <f t="shared" ca="1" si="7"/>
        <v>46018</v>
      </c>
      <c r="X165" s="3">
        <f t="shared" si="8"/>
        <v>30029</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5">
        <v>3845630030824</v>
      </c>
      <c r="R166">
        <v>80.900000000000006</v>
      </c>
      <c r="S166">
        <v>11.5</v>
      </c>
      <c r="T166">
        <v>48.8</v>
      </c>
      <c r="U166">
        <v>83132799</v>
      </c>
      <c r="V166">
        <f t="shared" ca="1" si="6"/>
        <v>61.186876269539873</v>
      </c>
      <c r="W166" s="3">
        <f t="shared" ca="1" si="7"/>
        <v>46018</v>
      </c>
      <c r="X166" s="3">
        <f t="shared" si="8"/>
        <v>23669</v>
      </c>
    </row>
    <row r="167" spans="1:24" x14ac:dyDescent="0.3">
      <c r="A167">
        <v>171</v>
      </c>
      <c r="B167" t="s">
        <v>21</v>
      </c>
      <c r="C167" t="s">
        <v>756</v>
      </c>
      <c r="D167" t="s">
        <v>32</v>
      </c>
      <c r="E167" t="s">
        <v>189</v>
      </c>
      <c r="F167" t="s">
        <v>124</v>
      </c>
      <c r="G167" t="s">
        <v>21</v>
      </c>
      <c r="H167" t="b">
        <v>0</v>
      </c>
      <c r="I167" t="s">
        <v>1798</v>
      </c>
      <c r="J167" t="s">
        <v>125</v>
      </c>
      <c r="K167" t="s">
        <v>757</v>
      </c>
      <c r="L167">
        <v>10200</v>
      </c>
      <c r="M167">
        <v>1949</v>
      </c>
      <c r="N167">
        <v>2</v>
      </c>
      <c r="O167">
        <v>8</v>
      </c>
      <c r="P167">
        <v>117.24</v>
      </c>
      <c r="Q167" s="5">
        <v>21427700000000</v>
      </c>
      <c r="R167">
        <v>78.5</v>
      </c>
      <c r="S167">
        <v>9.6</v>
      </c>
      <c r="T167">
        <v>36.6</v>
      </c>
      <c r="U167">
        <v>328239523</v>
      </c>
      <c r="V167">
        <f t="shared" ca="1" si="6"/>
        <v>76.882271369648691</v>
      </c>
      <c r="W167" s="3">
        <f t="shared" ca="1" si="7"/>
        <v>46018</v>
      </c>
      <c r="X167" s="3">
        <f t="shared" si="8"/>
        <v>17937</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5">
        <v>1392680589329</v>
      </c>
      <c r="R168">
        <v>82.7</v>
      </c>
      <c r="S168">
        <v>23</v>
      </c>
      <c r="T168">
        <v>47.4</v>
      </c>
      <c r="U168">
        <v>25766605</v>
      </c>
      <c r="V168">
        <f t="shared" ca="1" si="6"/>
        <v>46.028077124716027</v>
      </c>
      <c r="W168" s="3">
        <f t="shared" ca="1" si="7"/>
        <v>46018</v>
      </c>
      <c r="X168" s="3">
        <f t="shared" si="8"/>
        <v>29206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5">
        <v>364701517788</v>
      </c>
      <c r="R169">
        <v>76</v>
      </c>
      <c r="S169">
        <v>12</v>
      </c>
      <c r="T169">
        <v>38.700000000000003</v>
      </c>
      <c r="U169">
        <v>32447385</v>
      </c>
      <c r="V169">
        <f t="shared" ca="1" si="6"/>
        <v>84.375764993880054</v>
      </c>
      <c r="W169" s="3">
        <f t="shared" ca="1" si="7"/>
        <v>46018</v>
      </c>
      <c r="X169" s="3">
        <f t="shared" si="8"/>
        <v>15200</v>
      </c>
    </row>
    <row r="170" spans="1:24" x14ac:dyDescent="0.3">
      <c r="A170">
        <v>179</v>
      </c>
      <c r="B170" t="s">
        <v>462</v>
      </c>
      <c r="C170" t="s">
        <v>767</v>
      </c>
      <c r="D170" t="s">
        <v>105</v>
      </c>
      <c r="E170" t="s">
        <v>153</v>
      </c>
      <c r="F170" t="s">
        <v>465</v>
      </c>
      <c r="G170" t="s">
        <v>462</v>
      </c>
      <c r="H170" t="b">
        <v>1</v>
      </c>
      <c r="I170" t="s">
        <v>1798</v>
      </c>
      <c r="J170" t="s">
        <v>768</v>
      </c>
      <c r="K170" t="s">
        <v>769</v>
      </c>
      <c r="L170">
        <v>10100</v>
      </c>
      <c r="M170">
        <v>1964</v>
      </c>
      <c r="N170">
        <v>1</v>
      </c>
      <c r="O170">
        <v>1</v>
      </c>
      <c r="P170">
        <v>125.08</v>
      </c>
      <c r="Q170" s="5">
        <v>19910000000000</v>
      </c>
      <c r="R170">
        <v>77</v>
      </c>
      <c r="S170">
        <v>9.4</v>
      </c>
      <c r="T170">
        <v>59.2</v>
      </c>
      <c r="U170">
        <v>1397715000</v>
      </c>
      <c r="V170">
        <f t="shared" ca="1" si="6"/>
        <v>61.986311048308757</v>
      </c>
      <c r="W170" s="3">
        <f t="shared" ca="1" si="7"/>
        <v>46018</v>
      </c>
      <c r="X170" s="3">
        <f t="shared" si="8"/>
        <v>23377</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5">
        <v>21427700000000</v>
      </c>
      <c r="R171">
        <v>78.5</v>
      </c>
      <c r="S171">
        <v>9.6</v>
      </c>
      <c r="T171">
        <v>36.6</v>
      </c>
      <c r="U171">
        <v>328239523</v>
      </c>
      <c r="V171">
        <f t="shared" ca="1" si="6"/>
        <v>87.805612594113626</v>
      </c>
      <c r="W171" s="3">
        <f t="shared" ca="1" si="7"/>
        <v>46018</v>
      </c>
      <c r="X171" s="3">
        <f t="shared" si="8"/>
        <v>13947</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5">
        <v>19910000000000</v>
      </c>
      <c r="R172">
        <v>77</v>
      </c>
      <c r="S172">
        <v>9.4</v>
      </c>
      <c r="T172">
        <v>59.2</v>
      </c>
      <c r="U172">
        <v>1397715000</v>
      </c>
      <c r="V172">
        <f t="shared" ca="1" si="6"/>
        <v>77.570164970164967</v>
      </c>
      <c r="W172" s="3">
        <f t="shared" ca="1" si="7"/>
        <v>46018</v>
      </c>
      <c r="X172" s="3">
        <f t="shared" si="8"/>
        <v>17685</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5">
        <v>421142267938</v>
      </c>
      <c r="R173">
        <v>77.8</v>
      </c>
      <c r="S173">
        <v>0.1</v>
      </c>
      <c r="T173">
        <v>15.9</v>
      </c>
      <c r="U173">
        <v>9770529</v>
      </c>
      <c r="V173">
        <f t="shared" ca="1" si="6"/>
        <v>76.961669748257719</v>
      </c>
      <c r="W173" s="3">
        <f t="shared" ca="1" si="7"/>
        <v>46018</v>
      </c>
      <c r="X173" s="3">
        <f t="shared" si="8"/>
        <v>17908</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5">
        <v>703082435360</v>
      </c>
      <c r="R174">
        <v>83.6</v>
      </c>
      <c r="S174">
        <v>10.1</v>
      </c>
      <c r="T174">
        <v>28.8</v>
      </c>
      <c r="U174">
        <v>8574832</v>
      </c>
      <c r="V174">
        <f t="shared" ca="1" si="6"/>
        <v>82.909651669085633</v>
      </c>
      <c r="W174" s="3">
        <f t="shared" ca="1" si="7"/>
        <v>46018</v>
      </c>
      <c r="X174" s="3">
        <f t="shared" si="8"/>
        <v>15735</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5">
        <v>2715518274227</v>
      </c>
      <c r="R175">
        <v>82.5</v>
      </c>
      <c r="S175">
        <v>24.2</v>
      </c>
      <c r="T175">
        <v>60.7</v>
      </c>
      <c r="U175">
        <v>67059887</v>
      </c>
      <c r="V175">
        <f t="shared" ca="1" si="6"/>
        <v>54.381253422270895</v>
      </c>
      <c r="W175" s="3">
        <f t="shared" ca="1" si="7"/>
        <v>46018</v>
      </c>
      <c r="X175" s="3">
        <f t="shared" si="8"/>
        <v>26155</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5">
        <v>2715518274227</v>
      </c>
      <c r="R176">
        <v>82.5</v>
      </c>
      <c r="S176">
        <v>24.2</v>
      </c>
      <c r="T176">
        <v>60.7</v>
      </c>
      <c r="U176">
        <v>67059887</v>
      </c>
      <c r="V176">
        <f t="shared" ca="1" si="6"/>
        <v>55.819301848049278</v>
      </c>
      <c r="W176" s="3">
        <f t="shared" ca="1" si="7"/>
        <v>46018</v>
      </c>
      <c r="X176" s="3">
        <f t="shared" si="8"/>
        <v>25630</v>
      </c>
    </row>
    <row r="177" spans="1:24" x14ac:dyDescent="0.3">
      <c r="A177">
        <v>184</v>
      </c>
      <c r="B177" t="s">
        <v>168</v>
      </c>
      <c r="C177" t="s">
        <v>789</v>
      </c>
      <c r="D177" t="s">
        <v>23</v>
      </c>
      <c r="E177" t="s">
        <v>784</v>
      </c>
      <c r="F177" t="s">
        <v>172</v>
      </c>
      <c r="G177" t="s">
        <v>168</v>
      </c>
      <c r="H177" t="b">
        <v>0</v>
      </c>
      <c r="I177" t="s">
        <v>1798</v>
      </c>
      <c r="J177" t="s">
        <v>790</v>
      </c>
      <c r="K177" t="s">
        <v>791</v>
      </c>
      <c r="L177">
        <v>9800</v>
      </c>
      <c r="M177">
        <v>1968</v>
      </c>
      <c r="N177">
        <v>2</v>
      </c>
      <c r="O177">
        <v>1</v>
      </c>
      <c r="P177">
        <v>110.05</v>
      </c>
      <c r="Q177" s="5">
        <v>2715518274227</v>
      </c>
      <c r="R177">
        <v>82.5</v>
      </c>
      <c r="S177">
        <v>24.2</v>
      </c>
      <c r="T177">
        <v>60.7</v>
      </c>
      <c r="U177">
        <v>67059887</v>
      </c>
      <c r="V177">
        <f t="shared" ca="1" si="6"/>
        <v>57.901439697899455</v>
      </c>
      <c r="W177" s="3">
        <f t="shared" ca="1" si="7"/>
        <v>46018</v>
      </c>
      <c r="X177" s="3">
        <f t="shared" si="8"/>
        <v>24869</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5">
        <v>530832908738</v>
      </c>
      <c r="R178">
        <v>82.5</v>
      </c>
      <c r="S178">
        <v>27.9</v>
      </c>
      <c r="T178">
        <v>49.1</v>
      </c>
      <c r="U178">
        <v>10285453</v>
      </c>
      <c r="V178">
        <f t="shared" ca="1" si="6"/>
        <v>78.619442037775087</v>
      </c>
      <c r="W178" s="3">
        <f t="shared" ca="1" si="7"/>
        <v>46018</v>
      </c>
      <c r="X178" s="3">
        <f t="shared" si="8"/>
        <v>17302</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5">
        <v>1699876578871</v>
      </c>
      <c r="R179">
        <v>72.7</v>
      </c>
      <c r="S179">
        <v>11.4</v>
      </c>
      <c r="T179">
        <v>46.2</v>
      </c>
      <c r="U179">
        <v>144373535</v>
      </c>
      <c r="V179">
        <f t="shared" ca="1" si="6"/>
        <v>65.759074127846688</v>
      </c>
      <c r="W179" s="3">
        <f t="shared" ca="1" si="7"/>
        <v>46018</v>
      </c>
      <c r="X179" s="3">
        <f t="shared" si="8"/>
        <v>21999</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5">
        <v>2029000000000</v>
      </c>
      <c r="R180">
        <v>82.6</v>
      </c>
      <c r="S180">
        <v>15.6</v>
      </c>
      <c r="T180">
        <v>33.200000000000003</v>
      </c>
      <c r="U180">
        <v>51709098</v>
      </c>
      <c r="V180">
        <f t="shared" ca="1" si="6"/>
        <v>62.238885750293335</v>
      </c>
      <c r="W180" s="3">
        <f t="shared" ca="1" si="7"/>
        <v>46018</v>
      </c>
      <c r="X180" s="3">
        <f t="shared" si="8"/>
        <v>23285</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5">
        <v>19910000000000</v>
      </c>
      <c r="R181">
        <v>77</v>
      </c>
      <c r="S181">
        <v>9.4</v>
      </c>
      <c r="T181">
        <v>59.2</v>
      </c>
      <c r="U181">
        <v>1397715000</v>
      </c>
      <c r="V181">
        <f t="shared" ca="1" si="6"/>
        <v>56.030789182957875</v>
      </c>
      <c r="W181" s="3">
        <f t="shared" ca="1" si="7"/>
        <v>46018</v>
      </c>
      <c r="X181" s="3">
        <f t="shared" si="8"/>
        <v>25553</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5">
        <v>3845630030824</v>
      </c>
      <c r="R182">
        <v>80.900000000000006</v>
      </c>
      <c r="S182">
        <v>11.5</v>
      </c>
      <c r="T182">
        <v>48.8</v>
      </c>
      <c r="U182">
        <v>83132799</v>
      </c>
      <c r="V182">
        <f t="shared" ca="1" si="6"/>
        <v>79.367556468172481</v>
      </c>
      <c r="W182" s="3">
        <f t="shared" ca="1" si="7"/>
        <v>46018</v>
      </c>
      <c r="X182" s="3">
        <f t="shared" si="8"/>
        <v>17029</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5">
        <v>19910000000000</v>
      </c>
      <c r="R183">
        <v>77</v>
      </c>
      <c r="S183">
        <v>9.4</v>
      </c>
      <c r="T183">
        <v>59.2</v>
      </c>
      <c r="U183">
        <v>1397715000</v>
      </c>
      <c r="V183">
        <f t="shared" ca="1" si="6"/>
        <v>67.32101300479124</v>
      </c>
      <c r="W183" s="3">
        <f t="shared" ca="1" si="7"/>
        <v>46018</v>
      </c>
      <c r="X183" s="3">
        <f t="shared" si="8"/>
        <v>21429</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5">
        <v>21427700000000</v>
      </c>
      <c r="R184">
        <v>78.5</v>
      </c>
      <c r="S184">
        <v>9.6</v>
      </c>
      <c r="T184">
        <v>36.6</v>
      </c>
      <c r="U184">
        <v>328239523</v>
      </c>
      <c r="V184">
        <f t="shared" ca="1" si="6"/>
        <v>73.422324170335557</v>
      </c>
      <c r="W184" s="3">
        <f t="shared" ca="1" si="7"/>
        <v>46018</v>
      </c>
      <c r="X184" s="3">
        <f t="shared" si="8"/>
        <v>19200</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5">
        <v>19910000000000</v>
      </c>
      <c r="R185">
        <v>77</v>
      </c>
      <c r="S185">
        <v>9.4</v>
      </c>
      <c r="T185">
        <v>59.2</v>
      </c>
      <c r="U185">
        <v>1397715000</v>
      </c>
      <c r="V185">
        <f t="shared" ca="1" si="6"/>
        <v>73.318287764993158</v>
      </c>
      <c r="W185" s="3">
        <f t="shared" ca="1" si="7"/>
        <v>46018</v>
      </c>
      <c r="X185" s="3">
        <f t="shared" si="8"/>
        <v>19238</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5">
        <v>19910000000000</v>
      </c>
      <c r="R186">
        <v>77</v>
      </c>
      <c r="S186">
        <v>9.4</v>
      </c>
      <c r="T186">
        <v>59.2</v>
      </c>
      <c r="U186">
        <v>1397715000</v>
      </c>
      <c r="V186">
        <f t="shared" ca="1" si="6"/>
        <v>69.822043178973715</v>
      </c>
      <c r="W186" s="3">
        <f t="shared" ca="1" si="7"/>
        <v>46018</v>
      </c>
      <c r="X186" s="3">
        <f t="shared" si="8"/>
        <v>20515</v>
      </c>
    </row>
    <row r="187" spans="1:24" x14ac:dyDescent="0.3">
      <c r="A187">
        <v>195</v>
      </c>
      <c r="B187" t="s">
        <v>103</v>
      </c>
      <c r="C187" t="s">
        <v>830</v>
      </c>
      <c r="D187" t="s">
        <v>32</v>
      </c>
      <c r="E187" t="s">
        <v>831</v>
      </c>
      <c r="F187" t="s">
        <v>185</v>
      </c>
      <c r="G187" t="s">
        <v>103</v>
      </c>
      <c r="H187" t="b">
        <v>0</v>
      </c>
      <c r="I187" t="s">
        <v>1798</v>
      </c>
      <c r="J187" t="s">
        <v>186</v>
      </c>
      <c r="K187" t="s">
        <v>832</v>
      </c>
      <c r="L187">
        <v>9600</v>
      </c>
      <c r="M187">
        <v>1964</v>
      </c>
      <c r="N187">
        <v>7</v>
      </c>
      <c r="O187">
        <v>28</v>
      </c>
      <c r="P187">
        <v>117.24</v>
      </c>
      <c r="Q187" s="5">
        <v>21427700000000</v>
      </c>
      <c r="R187">
        <v>78.5</v>
      </c>
      <c r="S187">
        <v>9.6</v>
      </c>
      <c r="T187">
        <v>36.6</v>
      </c>
      <c r="U187">
        <v>328239523</v>
      </c>
      <c r="V187">
        <f t="shared" ca="1" si="6"/>
        <v>61.414112867614591</v>
      </c>
      <c r="W187" s="3">
        <f t="shared" ca="1" si="7"/>
        <v>46018</v>
      </c>
      <c r="X187" s="3">
        <f t="shared" si="8"/>
        <v>23586</v>
      </c>
    </row>
    <row r="188" spans="1:24" x14ac:dyDescent="0.3">
      <c r="A188">
        <v>195</v>
      </c>
      <c r="B188" t="s">
        <v>103</v>
      </c>
      <c r="C188" t="s">
        <v>833</v>
      </c>
      <c r="D188" t="s">
        <v>32</v>
      </c>
      <c r="E188" t="s">
        <v>834</v>
      </c>
      <c r="F188" t="s">
        <v>185</v>
      </c>
      <c r="G188" t="s">
        <v>103</v>
      </c>
      <c r="H188" t="b">
        <v>0</v>
      </c>
      <c r="I188" t="s">
        <v>1798</v>
      </c>
      <c r="J188" t="s">
        <v>186</v>
      </c>
      <c r="K188" t="s">
        <v>835</v>
      </c>
      <c r="L188">
        <v>9600</v>
      </c>
      <c r="M188">
        <v>1960</v>
      </c>
      <c r="N188">
        <v>8</v>
      </c>
      <c r="O188">
        <v>1</v>
      </c>
      <c r="P188">
        <v>117.24</v>
      </c>
      <c r="Q188" s="5">
        <v>21427700000000</v>
      </c>
      <c r="R188">
        <v>78.5</v>
      </c>
      <c r="S188">
        <v>9.6</v>
      </c>
      <c r="T188">
        <v>36.6</v>
      </c>
      <c r="U188">
        <v>328239523</v>
      </c>
      <c r="V188">
        <f t="shared" ca="1" si="6"/>
        <v>65.40316090762019</v>
      </c>
      <c r="W188" s="3">
        <f t="shared" ca="1" si="7"/>
        <v>46018</v>
      </c>
      <c r="X188" s="3">
        <f t="shared" si="8"/>
        <v>22129</v>
      </c>
    </row>
    <row r="189" spans="1:24" x14ac:dyDescent="0.3">
      <c r="A189">
        <v>195</v>
      </c>
      <c r="B189" t="s">
        <v>103</v>
      </c>
      <c r="C189" t="s">
        <v>836</v>
      </c>
      <c r="D189" t="s">
        <v>32</v>
      </c>
      <c r="E189" t="s">
        <v>61</v>
      </c>
      <c r="F189" t="s">
        <v>185</v>
      </c>
      <c r="G189" t="s">
        <v>103</v>
      </c>
      <c r="H189" t="b">
        <v>0</v>
      </c>
      <c r="I189" t="s">
        <v>1798</v>
      </c>
      <c r="J189" t="s">
        <v>186</v>
      </c>
      <c r="K189" t="s">
        <v>837</v>
      </c>
      <c r="L189">
        <v>9600</v>
      </c>
      <c r="M189">
        <v>1959</v>
      </c>
      <c r="N189">
        <v>1</v>
      </c>
      <c r="O189">
        <v>26</v>
      </c>
      <c r="P189">
        <v>117.24</v>
      </c>
      <c r="Q189" s="5">
        <v>21427700000000</v>
      </c>
      <c r="R189">
        <v>78.5</v>
      </c>
      <c r="S189">
        <v>9.6</v>
      </c>
      <c r="T189">
        <v>36.6</v>
      </c>
      <c r="U189">
        <v>328239523</v>
      </c>
      <c r="V189">
        <f t="shared" ca="1" si="6"/>
        <v>66.917865315462578</v>
      </c>
      <c r="W189" s="3">
        <f t="shared" ca="1" si="7"/>
        <v>46018</v>
      </c>
      <c r="X189" s="3">
        <f t="shared" si="8"/>
        <v>21576</v>
      </c>
    </row>
    <row r="190" spans="1:24" x14ac:dyDescent="0.3">
      <c r="A190">
        <v>195</v>
      </c>
      <c r="B190" t="s">
        <v>103</v>
      </c>
      <c r="C190" t="s">
        <v>838</v>
      </c>
      <c r="D190" t="s">
        <v>32</v>
      </c>
      <c r="E190" t="s">
        <v>839</v>
      </c>
      <c r="F190" t="s">
        <v>185</v>
      </c>
      <c r="G190" t="s">
        <v>103</v>
      </c>
      <c r="H190" t="b">
        <v>0</v>
      </c>
      <c r="I190" t="s">
        <v>1798</v>
      </c>
      <c r="J190" t="s">
        <v>186</v>
      </c>
      <c r="K190" t="s">
        <v>840</v>
      </c>
      <c r="L190">
        <v>9600</v>
      </c>
      <c r="M190">
        <v>1956</v>
      </c>
      <c r="N190">
        <v>12</v>
      </c>
      <c r="O190">
        <v>15</v>
      </c>
      <c r="P190">
        <v>117.24</v>
      </c>
      <c r="Q190" s="5">
        <v>21427700000000</v>
      </c>
      <c r="R190">
        <v>78.5</v>
      </c>
      <c r="S190">
        <v>9.6</v>
      </c>
      <c r="T190">
        <v>36.6</v>
      </c>
      <c r="U190">
        <v>328239523</v>
      </c>
      <c r="V190">
        <f t="shared" ca="1" si="6"/>
        <v>69.030819774718395</v>
      </c>
      <c r="W190" s="3">
        <f t="shared" ca="1" si="7"/>
        <v>46018</v>
      </c>
      <c r="X190" s="3">
        <f t="shared" si="8"/>
        <v>20804</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5">
        <v>2715518274227</v>
      </c>
      <c r="R191">
        <v>82.5</v>
      </c>
      <c r="S191">
        <v>24.2</v>
      </c>
      <c r="T191">
        <v>60.7</v>
      </c>
      <c r="U191">
        <v>67059887</v>
      </c>
      <c r="V191">
        <f t="shared" ca="1" si="6"/>
        <v>73.737171186503389</v>
      </c>
      <c r="W191" s="3">
        <f t="shared" ca="1" si="7"/>
        <v>46018</v>
      </c>
      <c r="X191" s="3">
        <f t="shared" si="8"/>
        <v>19085</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5">
        <v>1736425629520</v>
      </c>
      <c r="R192">
        <v>81.900000000000006</v>
      </c>
      <c r="S192">
        <v>12.8</v>
      </c>
      <c r="T192">
        <v>24.5</v>
      </c>
      <c r="U192">
        <v>36991981</v>
      </c>
      <c r="V192">
        <f t="shared" ca="1" si="6"/>
        <v>97.23615030032127</v>
      </c>
      <c r="W192" s="3">
        <f t="shared" ca="1" si="7"/>
        <v>46018</v>
      </c>
      <c r="X192" s="3">
        <f t="shared" si="8"/>
        <v>10502</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5">
        <v>703082435360</v>
      </c>
      <c r="R193">
        <v>83.6</v>
      </c>
      <c r="S193">
        <v>10.1</v>
      </c>
      <c r="T193">
        <v>28.8</v>
      </c>
      <c r="U193">
        <v>8574832</v>
      </c>
      <c r="V193">
        <f t="shared" ca="1" si="6"/>
        <v>60.263509874326751</v>
      </c>
      <c r="W193" s="3">
        <f t="shared" ca="1" si="7"/>
        <v>46018</v>
      </c>
      <c r="X193" s="3">
        <f t="shared" si="8"/>
        <v>24007</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5">
        <v>19910000000000</v>
      </c>
      <c r="R194">
        <v>77</v>
      </c>
      <c r="S194">
        <v>9.4</v>
      </c>
      <c r="T194">
        <v>59.2</v>
      </c>
      <c r="U194">
        <v>1397715000</v>
      </c>
      <c r="V194">
        <f t="shared" ref="V194:V257" ca="1" si="9">YEARFRAC(X194,W194,1)</f>
        <v>46.854896021436474</v>
      </c>
      <c r="W194" s="3">
        <f t="shared" ca="1" si="7"/>
        <v>46018</v>
      </c>
      <c r="X194" s="3">
        <f t="shared" si="8"/>
        <v>28904</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5">
        <v>21427700000000</v>
      </c>
      <c r="R195">
        <v>78.5</v>
      </c>
      <c r="S195">
        <v>9.6</v>
      </c>
      <c r="T195">
        <v>36.6</v>
      </c>
      <c r="U195">
        <v>328239523</v>
      </c>
      <c r="V195">
        <f t="shared" ca="1" si="9"/>
        <v>44.329216354344119</v>
      </c>
      <c r="W195" s="3">
        <f t="shared" ref="W195:W258" ca="1" si="10">TODAY()</f>
        <v>46018</v>
      </c>
      <c r="X195" s="3">
        <f t="shared" ref="X195:X258" si="11">DATE(M195,N195,O195)</f>
        <v>29827</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5">
        <v>2827113184696</v>
      </c>
      <c r="R196">
        <v>81.3</v>
      </c>
      <c r="S196">
        <v>25.5</v>
      </c>
      <c r="T196">
        <v>30.6</v>
      </c>
      <c r="U196">
        <v>66834405</v>
      </c>
      <c r="V196">
        <f t="shared" ca="1" si="9"/>
        <v>78.655033789637841</v>
      </c>
      <c r="W196" s="3">
        <f t="shared" ca="1" si="10"/>
        <v>46018</v>
      </c>
      <c r="X196" s="3">
        <f t="shared" si="11"/>
        <v>17289</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5">
        <v>1699876578871</v>
      </c>
      <c r="R197">
        <v>72.7</v>
      </c>
      <c r="S197">
        <v>11.4</v>
      </c>
      <c r="T197">
        <v>46.2</v>
      </c>
      <c r="U197">
        <v>144373535</v>
      </c>
      <c r="V197">
        <f t="shared" ca="1" si="9"/>
        <v>59.175906913073234</v>
      </c>
      <c r="W197" s="3">
        <f t="shared" ca="1" si="10"/>
        <v>46018</v>
      </c>
      <c r="X197" s="3">
        <f t="shared" si="11"/>
        <v>24404</v>
      </c>
    </row>
    <row r="198" spans="1:24" x14ac:dyDescent="0.3">
      <c r="A198">
        <v>208</v>
      </c>
      <c r="B198" t="s">
        <v>72</v>
      </c>
      <c r="C198" t="s">
        <v>867</v>
      </c>
      <c r="D198" t="s">
        <v>497</v>
      </c>
      <c r="E198" t="s">
        <v>498</v>
      </c>
      <c r="F198" t="s">
        <v>72</v>
      </c>
      <c r="G198" t="s">
        <v>72</v>
      </c>
      <c r="H198" t="b">
        <v>0</v>
      </c>
      <c r="I198" t="s">
        <v>1798</v>
      </c>
      <c r="J198" t="s">
        <v>868</v>
      </c>
      <c r="K198" t="s">
        <v>869</v>
      </c>
      <c r="L198">
        <v>9200</v>
      </c>
      <c r="M198">
        <v>1943</v>
      </c>
      <c r="N198">
        <v>9</v>
      </c>
      <c r="O198">
        <v>6</v>
      </c>
      <c r="P198">
        <v>110.51</v>
      </c>
      <c r="Q198" s="5">
        <v>530832908738</v>
      </c>
      <c r="R198">
        <v>82.5</v>
      </c>
      <c r="S198">
        <v>27.9</v>
      </c>
      <c r="T198">
        <v>49.1</v>
      </c>
      <c r="U198">
        <v>10285453</v>
      </c>
      <c r="V198">
        <f t="shared" ca="1" si="9"/>
        <v>82.307329462989841</v>
      </c>
      <c r="W198" s="3">
        <f t="shared" ca="1" si="10"/>
        <v>46018</v>
      </c>
      <c r="X198" s="3">
        <f t="shared" si="11"/>
        <v>15955</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5">
        <v>246489245495</v>
      </c>
      <c r="R199">
        <v>79</v>
      </c>
      <c r="S199">
        <v>14.9</v>
      </c>
      <c r="T199">
        <v>46.1</v>
      </c>
      <c r="U199">
        <v>10669709</v>
      </c>
      <c r="V199">
        <f t="shared" ca="1" si="9"/>
        <v>50.468864075585138</v>
      </c>
      <c r="W199" s="3">
        <f t="shared" ca="1" si="10"/>
        <v>46018</v>
      </c>
      <c r="X199" s="3">
        <f t="shared" si="11"/>
        <v>27584</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5">
        <v>21427700000000</v>
      </c>
      <c r="R200">
        <v>78.5</v>
      </c>
      <c r="S200">
        <v>9.6</v>
      </c>
      <c r="T200">
        <v>36.6</v>
      </c>
      <c r="U200">
        <v>328239523</v>
      </c>
      <c r="V200">
        <f t="shared" ca="1" si="9"/>
        <v>84.808348901629842</v>
      </c>
      <c r="W200" s="3">
        <f t="shared" ca="1" si="10"/>
        <v>46018</v>
      </c>
      <c r="X200" s="3">
        <f t="shared" si="11"/>
        <v>15042</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5">
        <v>2611000000000</v>
      </c>
      <c r="R201">
        <v>69.400000000000006</v>
      </c>
      <c r="S201">
        <v>11.2</v>
      </c>
      <c r="T201">
        <v>49.7</v>
      </c>
      <c r="U201">
        <v>1366417754</v>
      </c>
      <c r="V201">
        <f t="shared" ca="1" si="9"/>
        <v>80.427784350177447</v>
      </c>
      <c r="W201" s="3">
        <f t="shared" ca="1" si="10"/>
        <v>46018</v>
      </c>
      <c r="X201" s="3">
        <f t="shared" si="11"/>
        <v>16642</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5">
        <v>21427700000000</v>
      </c>
      <c r="R202">
        <v>78.5</v>
      </c>
      <c r="S202">
        <v>9.6</v>
      </c>
      <c r="T202">
        <v>36.6</v>
      </c>
      <c r="U202">
        <v>328239523</v>
      </c>
      <c r="V202">
        <f t="shared" ca="1" si="9"/>
        <v>88.414095425600649</v>
      </c>
      <c r="W202" s="3">
        <f t="shared" ca="1" si="10"/>
        <v>46018</v>
      </c>
      <c r="X202" s="3">
        <f t="shared" si="11"/>
        <v>13725</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5">
        <v>21427700000000</v>
      </c>
      <c r="R203">
        <v>78.5</v>
      </c>
      <c r="S203">
        <v>9.6</v>
      </c>
      <c r="T203">
        <v>36.6</v>
      </c>
      <c r="U203">
        <v>328239523</v>
      </c>
      <c r="V203">
        <f t="shared" ca="1" si="9"/>
        <v>65.986311029991285</v>
      </c>
      <c r="W203" s="3">
        <f t="shared" ca="1" si="10"/>
        <v>46018</v>
      </c>
      <c r="X203" s="3">
        <f t="shared" si="11"/>
        <v>21916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5">
        <v>21427700000000</v>
      </c>
      <c r="R204">
        <v>78.5</v>
      </c>
      <c r="S204">
        <v>9.6</v>
      </c>
      <c r="T204">
        <v>36.6</v>
      </c>
      <c r="U204">
        <v>328239523</v>
      </c>
      <c r="V204">
        <f t="shared" ca="1" si="9"/>
        <v>74.748120026283132</v>
      </c>
      <c r="W204" s="3">
        <f t="shared" ca="1" si="10"/>
        <v>46018</v>
      </c>
      <c r="X204" s="3">
        <f t="shared" si="11"/>
        <v>18716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5">
        <v>703082435360</v>
      </c>
      <c r="R205">
        <v>83.6</v>
      </c>
      <c r="S205">
        <v>10.1</v>
      </c>
      <c r="T205">
        <v>28.8</v>
      </c>
      <c r="U205">
        <v>8574832</v>
      </c>
      <c r="V205">
        <f t="shared" ca="1" si="9"/>
        <v>68.969883342591856</v>
      </c>
      <c r="W205" s="3">
        <f t="shared" ca="1" si="10"/>
        <v>46018</v>
      </c>
      <c r="X205" s="3">
        <f t="shared" si="11"/>
        <v>20827</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5">
        <v>3845630030824</v>
      </c>
      <c r="R206">
        <v>80.900000000000006</v>
      </c>
      <c r="S206">
        <v>11.5</v>
      </c>
      <c r="T206">
        <v>48.8</v>
      </c>
      <c r="U206">
        <v>83132799</v>
      </c>
      <c r="V206">
        <f t="shared" ca="1" si="9"/>
        <v>58.474338747099772</v>
      </c>
      <c r="W206" s="3">
        <f t="shared" ca="1" si="10"/>
        <v>46018</v>
      </c>
      <c r="X206" s="3">
        <f t="shared" si="11"/>
        <v>24660</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5">
        <v>1736425629520</v>
      </c>
      <c r="R207">
        <v>81.900000000000006</v>
      </c>
      <c r="S207">
        <v>12.8</v>
      </c>
      <c r="T207">
        <v>24.5</v>
      </c>
      <c r="U207">
        <v>36991981</v>
      </c>
      <c r="V207">
        <f t="shared" ca="1" si="9"/>
        <v>75.800136892539356</v>
      </c>
      <c r="W207" s="3">
        <f t="shared" ca="1" si="10"/>
        <v>46018</v>
      </c>
      <c r="X207" s="3">
        <f t="shared" si="11"/>
        <v>18332</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5">
        <v>19910000000000</v>
      </c>
      <c r="R208">
        <v>77</v>
      </c>
      <c r="S208">
        <v>9.4</v>
      </c>
      <c r="T208">
        <v>59.2</v>
      </c>
      <c r="U208">
        <v>1397715000</v>
      </c>
      <c r="V208">
        <f t="shared" ca="1" si="9"/>
        <v>59.838466803559207</v>
      </c>
      <c r="W208" s="3">
        <f t="shared" ca="1" si="10"/>
        <v>46018</v>
      </c>
      <c r="X208" s="3">
        <f t="shared" si="11"/>
        <v>24162</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5">
        <v>2827113184696</v>
      </c>
      <c r="R209">
        <v>81.3</v>
      </c>
      <c r="S209">
        <v>25.5</v>
      </c>
      <c r="T209">
        <v>30.6</v>
      </c>
      <c r="U209">
        <v>66834405</v>
      </c>
      <c r="V209">
        <f t="shared" ca="1" si="9"/>
        <v>70.986310878031844</v>
      </c>
      <c r="W209" s="3">
        <f t="shared" ca="1" si="10"/>
        <v>46018</v>
      </c>
      <c r="X209" s="3">
        <f t="shared" si="11"/>
        <v>20090</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5">
        <v>2827113184696</v>
      </c>
      <c r="R210">
        <v>81.3</v>
      </c>
      <c r="S210">
        <v>25.5</v>
      </c>
      <c r="T210">
        <v>30.6</v>
      </c>
      <c r="U210">
        <v>66834405</v>
      </c>
      <c r="V210">
        <f t="shared" ca="1" si="9"/>
        <v>65.986311029991285</v>
      </c>
      <c r="W210" s="3">
        <f t="shared" ca="1" si="10"/>
        <v>46018</v>
      </c>
      <c r="X210" s="3">
        <f t="shared" si="11"/>
        <v>21916</v>
      </c>
    </row>
    <row r="211" spans="1:24" x14ac:dyDescent="0.3">
      <c r="A211">
        <v>220</v>
      </c>
      <c r="B211" t="s">
        <v>103</v>
      </c>
      <c r="C211" t="s">
        <v>913</v>
      </c>
      <c r="D211" t="s">
        <v>226</v>
      </c>
      <c r="E211" t="s">
        <v>914</v>
      </c>
      <c r="F211" t="s">
        <v>907</v>
      </c>
      <c r="G211" t="s">
        <v>103</v>
      </c>
      <c r="H211" t="b">
        <v>0</v>
      </c>
      <c r="I211" t="s">
        <v>1798</v>
      </c>
      <c r="J211" t="s">
        <v>908</v>
      </c>
      <c r="K211" t="s">
        <v>915</v>
      </c>
      <c r="L211">
        <v>8900</v>
      </c>
      <c r="M211">
        <v>1952</v>
      </c>
      <c r="N211">
        <v>6</v>
      </c>
      <c r="O211">
        <v>6</v>
      </c>
      <c r="P211">
        <v>119.62</v>
      </c>
      <c r="Q211" s="5">
        <v>2827113184696</v>
      </c>
      <c r="R211">
        <v>81.3</v>
      </c>
      <c r="S211">
        <v>25.5</v>
      </c>
      <c r="T211">
        <v>30.6</v>
      </c>
      <c r="U211">
        <v>66834405</v>
      </c>
      <c r="V211">
        <f t="shared" ca="1" si="9"/>
        <v>73.556476377224456</v>
      </c>
      <c r="W211" s="3">
        <f t="shared" ca="1" si="10"/>
        <v>46018</v>
      </c>
      <c r="X211" s="3">
        <f t="shared" si="11"/>
        <v>19151</v>
      </c>
    </row>
    <row r="212" spans="1:24" x14ac:dyDescent="0.3">
      <c r="A212">
        <v>223</v>
      </c>
      <c r="B212" t="s">
        <v>21</v>
      </c>
      <c r="C212" t="s">
        <v>916</v>
      </c>
      <c r="D212" t="s">
        <v>327</v>
      </c>
      <c r="E212" t="s">
        <v>917</v>
      </c>
      <c r="F212" t="s">
        <v>918</v>
      </c>
      <c r="G212" t="s">
        <v>21</v>
      </c>
      <c r="H212" t="b">
        <v>1</v>
      </c>
      <c r="I212" t="s">
        <v>1798</v>
      </c>
      <c r="J212" t="s">
        <v>919</v>
      </c>
      <c r="K212" t="s">
        <v>920</v>
      </c>
      <c r="L212">
        <v>8800</v>
      </c>
      <c r="M212">
        <v>1975</v>
      </c>
      <c r="N212">
        <v>10</v>
      </c>
      <c r="O212">
        <v>16</v>
      </c>
      <c r="P212">
        <v>180.75</v>
      </c>
      <c r="Q212" s="5">
        <v>1699876578871</v>
      </c>
      <c r="R212">
        <v>72.7</v>
      </c>
      <c r="S212">
        <v>11.4</v>
      </c>
      <c r="T212">
        <v>46.2</v>
      </c>
      <c r="U212">
        <v>144373535</v>
      </c>
      <c r="V212">
        <f t="shared" ca="1" si="9"/>
        <v>50.197820485290961</v>
      </c>
      <c r="W212" s="3">
        <f t="shared" ca="1" si="10"/>
        <v>46018</v>
      </c>
      <c r="X212" s="3">
        <f t="shared" si="11"/>
        <v>27683</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5">
        <v>21427700000000</v>
      </c>
      <c r="R213">
        <v>78.5</v>
      </c>
      <c r="S213">
        <v>9.6</v>
      </c>
      <c r="T213">
        <v>36.6</v>
      </c>
      <c r="U213">
        <v>328239523</v>
      </c>
      <c r="V213">
        <f t="shared" ca="1" si="9"/>
        <v>74.49624005256625</v>
      </c>
      <c r="W213" s="3">
        <f t="shared" ca="1" si="10"/>
        <v>46018</v>
      </c>
      <c r="X213" s="3">
        <f t="shared" si="11"/>
        <v>18808</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5">
        <v>19910000000000</v>
      </c>
      <c r="R214">
        <v>77</v>
      </c>
      <c r="S214">
        <v>9.4</v>
      </c>
      <c r="T214">
        <v>59.2</v>
      </c>
      <c r="U214">
        <v>1397715000</v>
      </c>
      <c r="V214">
        <f t="shared" ca="1" si="9"/>
        <v>51.800136892539356</v>
      </c>
      <c r="W214" s="3">
        <f t="shared" ca="1" si="10"/>
        <v>46018</v>
      </c>
      <c r="X214" s="3">
        <f t="shared" si="11"/>
        <v>27098</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5">
        <v>21427700000000</v>
      </c>
      <c r="R215">
        <v>78.5</v>
      </c>
      <c r="S215">
        <v>9.6</v>
      </c>
      <c r="T215">
        <v>36.6</v>
      </c>
      <c r="U215">
        <v>328239523</v>
      </c>
      <c r="V215">
        <f t="shared" ca="1" si="9"/>
        <v>41.597549051561174</v>
      </c>
      <c r="W215" s="3">
        <f t="shared" ca="1" si="10"/>
        <v>46018</v>
      </c>
      <c r="X215" s="3">
        <f t="shared" si="11"/>
        <v>30824</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5">
        <v>21427700000000</v>
      </c>
      <c r="R216">
        <v>78.5</v>
      </c>
      <c r="S216">
        <v>9.6</v>
      </c>
      <c r="T216">
        <v>36.6</v>
      </c>
      <c r="U216">
        <v>328239523</v>
      </c>
      <c r="V216">
        <f t="shared" ca="1" si="9"/>
        <v>58.518143851508121</v>
      </c>
      <c r="W216" s="3">
        <f t="shared" ca="1" si="10"/>
        <v>46018</v>
      </c>
      <c r="X216" s="3">
        <f t="shared" si="11"/>
        <v>24644</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5">
        <v>19910000000000</v>
      </c>
      <c r="R217">
        <v>77</v>
      </c>
      <c r="S217">
        <v>9.4</v>
      </c>
      <c r="T217">
        <v>59.2</v>
      </c>
      <c r="U217">
        <v>1397715000</v>
      </c>
      <c r="V217">
        <f t="shared" ca="1" si="9"/>
        <v>66.986310885910427</v>
      </c>
      <c r="W217" s="3">
        <f t="shared" ca="1" si="10"/>
        <v>46018</v>
      </c>
      <c r="X217" s="3">
        <f t="shared" si="11"/>
        <v>21551</v>
      </c>
    </row>
    <row r="218" spans="1:24" x14ac:dyDescent="0.3">
      <c r="A218">
        <v>223</v>
      </c>
      <c r="B218" t="s">
        <v>292</v>
      </c>
      <c r="C218" t="s">
        <v>937</v>
      </c>
      <c r="D218" t="s">
        <v>226</v>
      </c>
      <c r="E218" t="s">
        <v>227</v>
      </c>
      <c r="F218" t="s">
        <v>403</v>
      </c>
      <c r="G218" t="s">
        <v>292</v>
      </c>
      <c r="H218" t="b">
        <v>0</v>
      </c>
      <c r="I218" t="s">
        <v>1798</v>
      </c>
      <c r="J218" t="s">
        <v>938</v>
      </c>
      <c r="K218" t="s">
        <v>939</v>
      </c>
      <c r="L218">
        <v>8800</v>
      </c>
      <c r="M218">
        <v>1951</v>
      </c>
      <c r="N218">
        <v>1</v>
      </c>
      <c r="O218">
        <v>1</v>
      </c>
      <c r="P218">
        <v>119.62</v>
      </c>
      <c r="Q218" s="5">
        <v>2827113184696</v>
      </c>
      <c r="R218">
        <v>81.3</v>
      </c>
      <c r="S218">
        <v>25.5</v>
      </c>
      <c r="T218">
        <v>30.6</v>
      </c>
      <c r="U218">
        <v>66834405</v>
      </c>
      <c r="V218">
        <f t="shared" ca="1" si="9"/>
        <v>74.986310870993648</v>
      </c>
      <c r="W218" s="3">
        <f t="shared" ca="1" si="10"/>
        <v>46018</v>
      </c>
      <c r="X218" s="3">
        <f t="shared" si="11"/>
        <v>18629</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5">
        <v>19910000000000</v>
      </c>
      <c r="R219">
        <v>77</v>
      </c>
      <c r="S219">
        <v>9.4</v>
      </c>
      <c r="T219">
        <v>59.2</v>
      </c>
      <c r="U219">
        <v>1397715000</v>
      </c>
      <c r="V219">
        <f t="shared" ca="1" si="9"/>
        <v>54.986310916421921</v>
      </c>
      <c r="W219" s="3">
        <f t="shared" ca="1" si="10"/>
        <v>46018</v>
      </c>
      <c r="X219" s="3">
        <f t="shared" si="11"/>
        <v>25934</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5">
        <v>3845630030824</v>
      </c>
      <c r="R220">
        <v>80.900000000000006</v>
      </c>
      <c r="S220">
        <v>11.5</v>
      </c>
      <c r="T220">
        <v>48.8</v>
      </c>
      <c r="U220">
        <v>83132799</v>
      </c>
      <c r="V220">
        <f t="shared" ca="1" si="9"/>
        <v>82.709790209790214</v>
      </c>
      <c r="W220" s="3">
        <f t="shared" ca="1" si="10"/>
        <v>46018</v>
      </c>
      <c r="X220" s="3">
        <f t="shared" si="11"/>
        <v>15808</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5">
        <v>21427700000000</v>
      </c>
      <c r="R221">
        <v>78.5</v>
      </c>
      <c r="S221">
        <v>9.6</v>
      </c>
      <c r="T221">
        <v>36.6</v>
      </c>
      <c r="U221">
        <v>328239523</v>
      </c>
      <c r="V221">
        <f t="shared" ca="1" si="9"/>
        <v>74.408629626925602</v>
      </c>
      <c r="W221" s="3">
        <f t="shared" ca="1" si="10"/>
        <v>46018</v>
      </c>
      <c r="X221" s="3">
        <f t="shared" si="11"/>
        <v>18840</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5">
        <v>206928765544</v>
      </c>
      <c r="R222">
        <v>81.900000000000006</v>
      </c>
      <c r="S222">
        <v>29</v>
      </c>
      <c r="T222">
        <v>34.6</v>
      </c>
      <c r="U222">
        <v>4841000</v>
      </c>
      <c r="V222">
        <f t="shared" ca="1" si="9"/>
        <v>70.559210272625606</v>
      </c>
      <c r="W222" s="3">
        <f t="shared" ca="1" si="10"/>
        <v>46018</v>
      </c>
      <c r="X222" s="3">
        <f t="shared" si="11"/>
        <v>20246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5">
        <v>2611000000000</v>
      </c>
      <c r="R223">
        <v>69.400000000000006</v>
      </c>
      <c r="S223">
        <v>11.2</v>
      </c>
      <c r="T223">
        <v>49.7</v>
      </c>
      <c r="U223">
        <v>1366417754</v>
      </c>
      <c r="V223">
        <f t="shared" ca="1" si="9"/>
        <v>71.080082135523611</v>
      </c>
      <c r="W223" s="3">
        <f t="shared" ca="1" si="10"/>
        <v>46018</v>
      </c>
      <c r="X223" s="3">
        <f t="shared" si="11"/>
        <v>20056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5">
        <v>3845630030824</v>
      </c>
      <c r="R224">
        <v>80.900000000000006</v>
      </c>
      <c r="S224">
        <v>11.5</v>
      </c>
      <c r="T224">
        <v>48.8</v>
      </c>
      <c r="U224">
        <v>83132799</v>
      </c>
      <c r="V224">
        <f t="shared" ca="1" si="9"/>
        <v>81.931554872959168</v>
      </c>
      <c r="W224" s="3">
        <f t="shared" ca="1" si="10"/>
        <v>46018</v>
      </c>
      <c r="X224" s="3">
        <f t="shared" si="11"/>
        <v>16092</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5">
        <v>703082435360</v>
      </c>
      <c r="R225">
        <v>83.6</v>
      </c>
      <c r="S225">
        <v>10.1</v>
      </c>
      <c r="T225">
        <v>28.8</v>
      </c>
      <c r="U225">
        <v>8574832</v>
      </c>
      <c r="V225">
        <f t="shared" ca="1" si="9"/>
        <v>77.986310986310983</v>
      </c>
      <c r="W225" s="3">
        <f t="shared" ca="1" si="10"/>
        <v>46018</v>
      </c>
      <c r="X225" s="3">
        <f t="shared" si="11"/>
        <v>17533</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5">
        <v>376795508680</v>
      </c>
      <c r="R226">
        <v>71.099999999999994</v>
      </c>
      <c r="S226">
        <v>14</v>
      </c>
      <c r="T226">
        <v>43.1</v>
      </c>
      <c r="U226">
        <v>108116615</v>
      </c>
      <c r="V226">
        <f t="shared" ca="1" si="9"/>
        <v>76.039005831318448</v>
      </c>
      <c r="W226" s="3">
        <f t="shared" ca="1" si="10"/>
        <v>46018</v>
      </c>
      <c r="X226" s="3">
        <f t="shared" si="11"/>
        <v>18245</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5">
        <v>21427700000000</v>
      </c>
      <c r="R227">
        <v>78.5</v>
      </c>
      <c r="S227">
        <v>9.6</v>
      </c>
      <c r="T227">
        <v>36.6</v>
      </c>
      <c r="U227">
        <v>328239523</v>
      </c>
      <c r="V227">
        <f t="shared" ca="1" si="9"/>
        <v>70.241622642964558</v>
      </c>
      <c r="W227" s="3">
        <f t="shared" ca="1" si="10"/>
        <v>46018</v>
      </c>
      <c r="X227" s="3">
        <f t="shared" si="11"/>
        <v>20362</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5">
        <v>21427700000000</v>
      </c>
      <c r="R228">
        <v>78.5</v>
      </c>
      <c r="S228">
        <v>9.6</v>
      </c>
      <c r="T228">
        <v>36.6</v>
      </c>
      <c r="U228">
        <v>328239523</v>
      </c>
      <c r="V228">
        <f t="shared" ca="1" si="9"/>
        <v>50.518144728365904</v>
      </c>
      <c r="W228" s="3">
        <f t="shared" ca="1" si="10"/>
        <v>46018</v>
      </c>
      <c r="X228" s="3">
        <f t="shared" si="11"/>
        <v>27566</v>
      </c>
    </row>
    <row r="229" spans="1:24" x14ac:dyDescent="0.3">
      <c r="A229">
        <v>239</v>
      </c>
      <c r="B229" t="s">
        <v>21</v>
      </c>
      <c r="C229" t="s">
        <v>977</v>
      </c>
      <c r="D229" t="s">
        <v>32</v>
      </c>
      <c r="E229" t="s">
        <v>614</v>
      </c>
      <c r="F229" t="s">
        <v>124</v>
      </c>
      <c r="G229" t="s">
        <v>21</v>
      </c>
      <c r="H229" t="b">
        <v>0</v>
      </c>
      <c r="I229" t="s">
        <v>1798</v>
      </c>
      <c r="J229" t="s">
        <v>616</v>
      </c>
      <c r="K229" t="s">
        <v>978</v>
      </c>
      <c r="L229">
        <v>8500</v>
      </c>
      <c r="M229">
        <v>1948</v>
      </c>
      <c r="N229">
        <v>12</v>
      </c>
      <c r="O229">
        <v>18</v>
      </c>
      <c r="P229">
        <v>117.24</v>
      </c>
      <c r="Q229" s="5">
        <v>21427700000000</v>
      </c>
      <c r="R229">
        <v>78.5</v>
      </c>
      <c r="S229">
        <v>9.6</v>
      </c>
      <c r="T229">
        <v>36.6</v>
      </c>
      <c r="U229">
        <v>328239523</v>
      </c>
      <c r="V229">
        <f t="shared" ca="1" si="9"/>
        <v>77.022604422604417</v>
      </c>
      <c r="W229" s="3">
        <f t="shared" ca="1" si="10"/>
        <v>46018</v>
      </c>
      <c r="X229" s="3">
        <f t="shared" si="11"/>
        <v>17885</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5">
        <v>19910000000000</v>
      </c>
      <c r="R230">
        <v>77</v>
      </c>
      <c r="S230">
        <v>9.4</v>
      </c>
      <c r="T230">
        <v>59.2</v>
      </c>
      <c r="U230">
        <v>1397715000</v>
      </c>
      <c r="V230">
        <f t="shared" ca="1" si="9"/>
        <v>57.986311069152705</v>
      </c>
      <c r="W230" s="3">
        <f t="shared" ca="1" si="10"/>
        <v>46018</v>
      </c>
      <c r="X230" s="3">
        <f t="shared" si="11"/>
        <v>24838</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5">
        <v>21427700000000</v>
      </c>
      <c r="R231">
        <v>78.5</v>
      </c>
      <c r="S231">
        <v>9.6</v>
      </c>
      <c r="T231">
        <v>36.6</v>
      </c>
      <c r="U231">
        <v>328239523</v>
      </c>
      <c r="V231">
        <f t="shared" ca="1" si="9"/>
        <v>78.07735227863455</v>
      </c>
      <c r="W231" s="3">
        <f t="shared" ca="1" si="10"/>
        <v>46018</v>
      </c>
      <c r="X231" s="3">
        <f t="shared" si="11"/>
        <v>17500</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5">
        <v>351431649241</v>
      </c>
      <c r="R232">
        <v>63.9</v>
      </c>
      <c r="S232">
        <v>27.5</v>
      </c>
      <c r="T232">
        <v>29.2</v>
      </c>
      <c r="U232">
        <v>58558270</v>
      </c>
      <c r="V232">
        <f t="shared" ca="1" si="9"/>
        <v>80.553726550616858</v>
      </c>
      <c r="W232" s="3">
        <f t="shared" ca="1" si="10"/>
        <v>46018</v>
      </c>
      <c r="X232" s="3">
        <f t="shared" si="11"/>
        <v>16596</v>
      </c>
    </row>
    <row r="233" spans="1:24" x14ac:dyDescent="0.3">
      <c r="A233">
        <v>242</v>
      </c>
      <c r="B233" t="s">
        <v>59</v>
      </c>
      <c r="C233" t="s">
        <v>992</v>
      </c>
      <c r="D233" t="s">
        <v>274</v>
      </c>
      <c r="E233" t="s">
        <v>993</v>
      </c>
      <c r="F233" t="s">
        <v>985</v>
      </c>
      <c r="G233" t="s">
        <v>59</v>
      </c>
      <c r="H233" t="b">
        <v>0</v>
      </c>
      <c r="I233" t="s">
        <v>1798</v>
      </c>
      <c r="J233" t="s">
        <v>994</v>
      </c>
      <c r="K233" t="s">
        <v>995</v>
      </c>
      <c r="L233">
        <v>8400</v>
      </c>
      <c r="M233">
        <v>1950</v>
      </c>
      <c r="N233">
        <v>5</v>
      </c>
      <c r="O233">
        <v>21</v>
      </c>
      <c r="P233">
        <v>119.8</v>
      </c>
      <c r="Q233" s="5">
        <v>1392680589329</v>
      </c>
      <c r="R233">
        <v>82.7</v>
      </c>
      <c r="S233">
        <v>23</v>
      </c>
      <c r="T233">
        <v>47.4</v>
      </c>
      <c r="U233">
        <v>25766605</v>
      </c>
      <c r="V233">
        <f t="shared" ca="1" si="9"/>
        <v>75.60301163586584</v>
      </c>
      <c r="W233" s="3">
        <f t="shared" ca="1" si="10"/>
        <v>46018</v>
      </c>
      <c r="X233" s="3">
        <f t="shared" si="11"/>
        <v>18404</v>
      </c>
    </row>
    <row r="234" spans="1:24" x14ac:dyDescent="0.3">
      <c r="A234">
        <v>242</v>
      </c>
      <c r="B234" t="s">
        <v>272</v>
      </c>
      <c r="C234" t="s">
        <v>996</v>
      </c>
      <c r="D234" t="s">
        <v>105</v>
      </c>
      <c r="E234" t="s">
        <v>997</v>
      </c>
      <c r="F234" t="s">
        <v>998</v>
      </c>
      <c r="G234" t="s">
        <v>272</v>
      </c>
      <c r="H234" t="b">
        <v>0</v>
      </c>
      <c r="I234" t="s">
        <v>1798</v>
      </c>
      <c r="J234" t="s">
        <v>999</v>
      </c>
      <c r="K234" t="s">
        <v>1000</v>
      </c>
      <c r="L234">
        <v>8400</v>
      </c>
      <c r="M234">
        <v>1946</v>
      </c>
      <c r="N234">
        <v>1</v>
      </c>
      <c r="O234">
        <v>1</v>
      </c>
      <c r="P234">
        <v>125.08</v>
      </c>
      <c r="Q234" s="5">
        <v>19910000000000</v>
      </c>
      <c r="R234">
        <v>77</v>
      </c>
      <c r="S234">
        <v>9.4</v>
      </c>
      <c r="T234">
        <v>59.2</v>
      </c>
      <c r="U234">
        <v>1397715000</v>
      </c>
      <c r="V234">
        <f t="shared" ca="1" si="9"/>
        <v>79.986310746064333</v>
      </c>
      <c r="W234" s="3">
        <f t="shared" ca="1" si="10"/>
        <v>46018</v>
      </c>
      <c r="X234" s="3">
        <f t="shared" si="11"/>
        <v>16803</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5">
        <v>21427700000000</v>
      </c>
      <c r="R235">
        <v>78.5</v>
      </c>
      <c r="S235">
        <v>9.6</v>
      </c>
      <c r="T235">
        <v>36.6</v>
      </c>
      <c r="U235">
        <v>328239523</v>
      </c>
      <c r="V235">
        <f t="shared" ca="1" si="9"/>
        <v>77.772762372762372</v>
      </c>
      <c r="W235" s="3">
        <f t="shared" ca="1" si="10"/>
        <v>46018</v>
      </c>
      <c r="X235" s="3">
        <f t="shared" si="11"/>
        <v>17611</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5">
        <v>1699876578871</v>
      </c>
      <c r="R236">
        <v>72.7</v>
      </c>
      <c r="S236">
        <v>11.4</v>
      </c>
      <c r="T236">
        <v>46.2</v>
      </c>
      <c r="U236">
        <v>144373535</v>
      </c>
      <c r="V236">
        <f t="shared" ca="1" si="9"/>
        <v>64.175898235120684</v>
      </c>
      <c r="W236" s="3">
        <f t="shared" ca="1" si="10"/>
        <v>46018</v>
      </c>
      <c r="X236" s="3">
        <f t="shared" si="11"/>
        <v>22578</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5">
        <v>448120428859</v>
      </c>
      <c r="R237">
        <v>54.3</v>
      </c>
      <c r="S237">
        <v>1.5</v>
      </c>
      <c r="T237">
        <v>34.799999999999997</v>
      </c>
      <c r="U237">
        <v>200963599</v>
      </c>
      <c r="V237">
        <f t="shared" ca="1" si="9"/>
        <v>65.394947525614967</v>
      </c>
      <c r="W237" s="3">
        <f t="shared" ca="1" si="10"/>
        <v>46018</v>
      </c>
      <c r="X237" s="3">
        <f t="shared" si="11"/>
        <v>22132</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5">
        <v>21427700000000</v>
      </c>
      <c r="R238">
        <v>78.5</v>
      </c>
      <c r="S238">
        <v>9.6</v>
      </c>
      <c r="T238">
        <v>36.6</v>
      </c>
      <c r="U238">
        <v>328239523</v>
      </c>
      <c r="V238">
        <f t="shared" ca="1" si="9"/>
        <v>82.285426837313636</v>
      </c>
      <c r="W238" s="3">
        <f t="shared" ca="1" si="10"/>
        <v>46018</v>
      </c>
      <c r="X238" s="3">
        <f t="shared" si="11"/>
        <v>15963</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5">
        <v>2611000000000</v>
      </c>
      <c r="R239">
        <v>69.400000000000006</v>
      </c>
      <c r="S239">
        <v>11.2</v>
      </c>
      <c r="T239">
        <v>49.7</v>
      </c>
      <c r="U239">
        <v>1366417754</v>
      </c>
      <c r="V239">
        <f t="shared" ca="1" si="9"/>
        <v>94.367561024813384</v>
      </c>
      <c r="W239" s="3">
        <f t="shared" ca="1" si="10"/>
        <v>46018</v>
      </c>
      <c r="X239" s="3">
        <f t="shared" si="11"/>
        <v>11550</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5">
        <v>19910000000000</v>
      </c>
      <c r="R240">
        <v>77</v>
      </c>
      <c r="S240">
        <v>9.4</v>
      </c>
      <c r="T240">
        <v>59.2</v>
      </c>
      <c r="U240">
        <v>1397715000</v>
      </c>
      <c r="V240">
        <f t="shared" ca="1" si="9"/>
        <v>71.238877481177269</v>
      </c>
      <c r="W240" s="3">
        <f t="shared" ca="1" si="10"/>
        <v>46018</v>
      </c>
      <c r="X240" s="3">
        <f t="shared" si="11"/>
        <v>19998</v>
      </c>
    </row>
    <row r="241" spans="1:24" x14ac:dyDescent="0.3">
      <c r="A241">
        <v>249</v>
      </c>
      <c r="B241" t="s">
        <v>462</v>
      </c>
      <c r="C241" t="s">
        <v>1017</v>
      </c>
      <c r="D241" t="s">
        <v>105</v>
      </c>
      <c r="E241" t="s">
        <v>336</v>
      </c>
      <c r="F241" t="s">
        <v>465</v>
      </c>
      <c r="G241" t="s">
        <v>462</v>
      </c>
      <c r="H241" t="b">
        <v>0</v>
      </c>
      <c r="I241" t="s">
        <v>1798</v>
      </c>
      <c r="J241" t="s">
        <v>1018</v>
      </c>
      <c r="K241" t="s">
        <v>1019</v>
      </c>
      <c r="L241">
        <v>8200</v>
      </c>
      <c r="M241">
        <v>1981</v>
      </c>
      <c r="N241">
        <v>9</v>
      </c>
      <c r="O241">
        <v>27</v>
      </c>
      <c r="P241">
        <v>125.08</v>
      </c>
      <c r="Q241" s="5">
        <v>19910000000000</v>
      </c>
      <c r="R241">
        <v>77</v>
      </c>
      <c r="S241">
        <v>9.4</v>
      </c>
      <c r="T241">
        <v>59.2</v>
      </c>
      <c r="U241">
        <v>1397715000</v>
      </c>
      <c r="V241">
        <f t="shared" ca="1" si="9"/>
        <v>44.249817473837915</v>
      </c>
      <c r="W241" s="3">
        <f t="shared" ca="1" si="10"/>
        <v>46018</v>
      </c>
      <c r="X241" s="3">
        <f t="shared" si="11"/>
        <v>29856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5">
        <v>2715518274227</v>
      </c>
      <c r="R242">
        <v>82.5</v>
      </c>
      <c r="S242">
        <v>24.2</v>
      </c>
      <c r="T242">
        <v>60.7</v>
      </c>
      <c r="U242">
        <v>67059887</v>
      </c>
      <c r="V242">
        <f t="shared" ca="1" si="9"/>
        <v>72.47432772006151</v>
      </c>
      <c r="W242" s="3">
        <f t="shared" ca="1" si="10"/>
        <v>46018</v>
      </c>
      <c r="X242" s="3">
        <f t="shared" si="11"/>
        <v>19547</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5">
        <v>2715518274227</v>
      </c>
      <c r="R243">
        <v>82.5</v>
      </c>
      <c r="S243">
        <v>24.2</v>
      </c>
      <c r="T243">
        <v>60.7</v>
      </c>
      <c r="U243">
        <v>67059887</v>
      </c>
      <c r="V243">
        <f t="shared" ca="1" si="9"/>
        <v>68.756328862788664</v>
      </c>
      <c r="W243" s="3">
        <f t="shared" ca="1" si="10"/>
        <v>46018</v>
      </c>
      <c r="X243" s="3">
        <f t="shared" si="11"/>
        <v>20905</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5">
        <v>21427700000000</v>
      </c>
      <c r="R244">
        <v>78.5</v>
      </c>
      <c r="S244">
        <v>9.6</v>
      </c>
      <c r="T244">
        <v>36.6</v>
      </c>
      <c r="U244">
        <v>328239523</v>
      </c>
      <c r="V244">
        <f t="shared" ca="1" si="9"/>
        <v>68.50718196968495</v>
      </c>
      <c r="W244" s="3">
        <f t="shared" ca="1" si="10"/>
        <v>46018</v>
      </c>
      <c r="X244" s="3">
        <f t="shared" si="11"/>
        <v>20996</v>
      </c>
    </row>
    <row r="245" spans="1:24" x14ac:dyDescent="0.3">
      <c r="A245">
        <v>256</v>
      </c>
      <c r="B245" t="s">
        <v>72</v>
      </c>
      <c r="C245" t="s">
        <v>1029</v>
      </c>
      <c r="D245" t="s">
        <v>23</v>
      </c>
      <c r="E245" t="s">
        <v>24</v>
      </c>
      <c r="F245" t="s">
        <v>72</v>
      </c>
      <c r="G245" t="s">
        <v>72</v>
      </c>
      <c r="H245" t="b">
        <v>0</v>
      </c>
      <c r="I245" t="s">
        <v>1798</v>
      </c>
      <c r="J245" t="s">
        <v>1030</v>
      </c>
      <c r="K245" t="s">
        <v>1031</v>
      </c>
      <c r="L245">
        <v>8100</v>
      </c>
      <c r="M245">
        <v>1965</v>
      </c>
      <c r="N245">
        <v>4</v>
      </c>
      <c r="O245">
        <v>4</v>
      </c>
      <c r="P245">
        <v>110.05</v>
      </c>
      <c r="Q245" s="5">
        <v>2715518274227</v>
      </c>
      <c r="R245">
        <v>82.5</v>
      </c>
      <c r="S245">
        <v>24.2</v>
      </c>
      <c r="T245">
        <v>60.7</v>
      </c>
      <c r="U245">
        <v>67059887</v>
      </c>
      <c r="V245">
        <f t="shared" ca="1" si="9"/>
        <v>60.731687612208262</v>
      </c>
      <c r="W245" s="3">
        <f t="shared" ca="1" si="10"/>
        <v>46018</v>
      </c>
      <c r="X245" s="3">
        <f t="shared" si="11"/>
        <v>23836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5">
        <v>703082435360</v>
      </c>
      <c r="R246">
        <v>83.6</v>
      </c>
      <c r="S246">
        <v>10.1</v>
      </c>
      <c r="T246">
        <v>28.8</v>
      </c>
      <c r="U246">
        <v>8574832</v>
      </c>
      <c r="V246">
        <f t="shared" ca="1" si="9"/>
        <v>56.786445074211059</v>
      </c>
      <c r="W246" s="3">
        <f t="shared" ca="1" si="10"/>
        <v>46018</v>
      </c>
      <c r="X246" s="3">
        <f t="shared" si="11"/>
        <v>25277</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5">
        <v>21427700000000</v>
      </c>
      <c r="R247">
        <v>78.5</v>
      </c>
      <c r="S247">
        <v>9.6</v>
      </c>
      <c r="T247">
        <v>36.6</v>
      </c>
      <c r="U247">
        <v>328239523</v>
      </c>
      <c r="V247">
        <f t="shared" ca="1" si="9"/>
        <v>42.545524003565518</v>
      </c>
      <c r="W247" s="3">
        <f t="shared" ca="1" si="10"/>
        <v>46018</v>
      </c>
      <c r="X247" s="3">
        <f t="shared" si="11"/>
        <v>30478</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5">
        <v>1699876578871</v>
      </c>
      <c r="R248">
        <v>72.7</v>
      </c>
      <c r="S248">
        <v>11.4</v>
      </c>
      <c r="T248">
        <v>46.2</v>
      </c>
      <c r="U248">
        <v>144373535</v>
      </c>
      <c r="V248">
        <f t="shared" ca="1" si="9"/>
        <v>69.726220275344176</v>
      </c>
      <c r="W248" s="3">
        <f t="shared" ca="1" si="10"/>
        <v>46018</v>
      </c>
      <c r="X248" s="3">
        <f t="shared" si="11"/>
        <v>20550</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5">
        <v>21427700000000</v>
      </c>
      <c r="R249">
        <v>78.5</v>
      </c>
      <c r="S249">
        <v>9.6</v>
      </c>
      <c r="T249">
        <v>36.6</v>
      </c>
      <c r="U249">
        <v>328239523</v>
      </c>
      <c r="V249">
        <f t="shared" ca="1" si="9"/>
        <v>96.627649665528239</v>
      </c>
      <c r="W249" s="3">
        <f t="shared" ca="1" si="10"/>
        <v>46018</v>
      </c>
      <c r="X249" s="3">
        <f t="shared" si="11"/>
        <v>10725</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5">
        <v>21427700000000</v>
      </c>
      <c r="R250">
        <v>78.5</v>
      </c>
      <c r="S250">
        <v>9.6</v>
      </c>
      <c r="T250">
        <v>36.6</v>
      </c>
      <c r="U250">
        <v>328239523</v>
      </c>
      <c r="V250">
        <f t="shared" ca="1" si="9"/>
        <v>88.619435813824722</v>
      </c>
      <c r="W250" s="3">
        <f t="shared" ca="1" si="10"/>
        <v>46018</v>
      </c>
      <c r="X250" s="3">
        <f t="shared" si="11"/>
        <v>13650</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5">
        <v>21427700000000</v>
      </c>
      <c r="R251">
        <v>78.5</v>
      </c>
      <c r="S251">
        <v>9.6</v>
      </c>
      <c r="T251">
        <v>36.6</v>
      </c>
      <c r="U251">
        <v>328239523</v>
      </c>
      <c r="V251">
        <f t="shared" ca="1" si="9"/>
        <v>63.071868583162221</v>
      </c>
      <c r="W251" s="3">
        <f t="shared" ca="1" si="10"/>
        <v>46018</v>
      </c>
      <c r="X251" s="3">
        <f t="shared" si="11"/>
        <v>22981</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5">
        <v>246489245495</v>
      </c>
      <c r="R252">
        <v>79</v>
      </c>
      <c r="S252">
        <v>14.9</v>
      </c>
      <c r="T252">
        <v>46.1</v>
      </c>
      <c r="U252">
        <v>10669709</v>
      </c>
      <c r="V252">
        <f t="shared" ca="1" si="9"/>
        <v>61.61670935264506</v>
      </c>
      <c r="W252" s="3">
        <f t="shared" ca="1" si="10"/>
        <v>46018</v>
      </c>
      <c r="X252" s="3">
        <f t="shared" si="11"/>
        <v>23512</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5">
        <v>21427700000000</v>
      </c>
      <c r="R253">
        <v>78.5</v>
      </c>
      <c r="S253">
        <v>9.6</v>
      </c>
      <c r="T253">
        <v>36.6</v>
      </c>
      <c r="U253">
        <v>328239523</v>
      </c>
      <c r="V253">
        <f t="shared" ca="1" si="9"/>
        <v>55.260780287474333</v>
      </c>
      <c r="W253" s="3">
        <f t="shared" ca="1" si="10"/>
        <v>46018</v>
      </c>
      <c r="X253" s="3">
        <f t="shared" si="11"/>
        <v>25834</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5">
        <v>19910000000000</v>
      </c>
      <c r="R254">
        <v>77</v>
      </c>
      <c r="S254">
        <v>9.4</v>
      </c>
      <c r="T254">
        <v>59.2</v>
      </c>
      <c r="U254">
        <v>1397715000</v>
      </c>
      <c r="V254">
        <f t="shared" ca="1" si="9"/>
        <v>55.071868583162221</v>
      </c>
      <c r="W254" s="3">
        <f t="shared" ca="1" si="10"/>
        <v>46018</v>
      </c>
      <c r="X254" s="3">
        <f t="shared" si="11"/>
        <v>25903</v>
      </c>
    </row>
    <row r="255" spans="1:24" x14ac:dyDescent="0.3">
      <c r="A255">
        <v>268</v>
      </c>
      <c r="B255" t="s">
        <v>21</v>
      </c>
      <c r="C255" t="s">
        <v>1064</v>
      </c>
      <c r="D255" t="s">
        <v>32</v>
      </c>
      <c r="E255" t="s">
        <v>1065</v>
      </c>
      <c r="F255" t="s">
        <v>124</v>
      </c>
      <c r="G255" t="s">
        <v>21</v>
      </c>
      <c r="H255" t="b">
        <v>0</v>
      </c>
      <c r="I255" t="s">
        <v>1798</v>
      </c>
      <c r="J255" t="s">
        <v>1066</v>
      </c>
      <c r="K255" t="s">
        <v>1067</v>
      </c>
      <c r="L255">
        <v>7900</v>
      </c>
      <c r="M255">
        <v>1951</v>
      </c>
      <c r="N255">
        <v>5</v>
      </c>
      <c r="O255">
        <v>15</v>
      </c>
      <c r="P255">
        <v>117.24</v>
      </c>
      <c r="Q255" s="5">
        <v>21427700000000</v>
      </c>
      <c r="R255">
        <v>78.5</v>
      </c>
      <c r="S255">
        <v>9.6</v>
      </c>
      <c r="T255">
        <v>36.6</v>
      </c>
      <c r="U255">
        <v>328239523</v>
      </c>
      <c r="V255">
        <f t="shared" ca="1" si="9"/>
        <v>74.619442213623415</v>
      </c>
      <c r="W255" s="3">
        <f t="shared" ca="1" si="10"/>
        <v>46018</v>
      </c>
      <c r="X255" s="3">
        <f t="shared" si="11"/>
        <v>18763</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5">
        <v>2029000000000</v>
      </c>
      <c r="R256">
        <v>82.6</v>
      </c>
      <c r="S256">
        <v>15.6</v>
      </c>
      <c r="T256">
        <v>33.200000000000003</v>
      </c>
      <c r="U256">
        <v>51709098</v>
      </c>
      <c r="V256">
        <f t="shared" ca="1" si="9"/>
        <v>57.509936275666746</v>
      </c>
      <c r="W256" s="3">
        <f t="shared" ca="1" si="10"/>
        <v>46018</v>
      </c>
      <c r="X256" s="3">
        <f t="shared" si="11"/>
        <v>25012</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5">
        <v>21427700000000</v>
      </c>
      <c r="R257">
        <v>78.5</v>
      </c>
      <c r="S257">
        <v>9.6</v>
      </c>
      <c r="T257">
        <v>36.6</v>
      </c>
      <c r="U257">
        <v>328239523</v>
      </c>
      <c r="V257">
        <f t="shared" ca="1" si="9"/>
        <v>57.274486665093228</v>
      </c>
      <c r="W257" s="3">
        <f t="shared" ca="1" si="10"/>
        <v>46018</v>
      </c>
      <c r="X257" s="3">
        <f t="shared" si="11"/>
        <v>25098</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5">
        <v>21427700000000</v>
      </c>
      <c r="R258">
        <v>78.5</v>
      </c>
      <c r="S258">
        <v>9.6</v>
      </c>
      <c r="T258">
        <v>36.6</v>
      </c>
      <c r="U258">
        <v>328239523</v>
      </c>
      <c r="V258">
        <f t="shared" ref="V258:V321" ca="1" si="12">YEARFRAC(X258,W258,1)</f>
        <v>74.748120026283132</v>
      </c>
      <c r="W258" s="3">
        <f t="shared" ca="1" si="10"/>
        <v>46018</v>
      </c>
      <c r="X258" s="3">
        <f t="shared" si="11"/>
        <v>18716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5">
        <v>1699876578871</v>
      </c>
      <c r="R259">
        <v>72.7</v>
      </c>
      <c r="S259">
        <v>11.4</v>
      </c>
      <c r="T259">
        <v>46.2</v>
      </c>
      <c r="U259">
        <v>144373535</v>
      </c>
      <c r="V259">
        <f t="shared" ca="1" si="12"/>
        <v>59.906913073237511</v>
      </c>
      <c r="W259" s="3">
        <f t="shared" ref="W259:W322" ca="1" si="13">TODAY()</f>
        <v>46018</v>
      </c>
      <c r="X259" s="3">
        <f t="shared" ref="X259:X322" si="14">DATE(M259,N259,O259)</f>
        <v>24137</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5">
        <v>446314739528</v>
      </c>
      <c r="R260">
        <v>81.599999999999994</v>
      </c>
      <c r="S260">
        <v>25.4</v>
      </c>
      <c r="T260">
        <v>51.4</v>
      </c>
      <c r="U260">
        <v>8877067</v>
      </c>
      <c r="V260">
        <f t="shared" ca="1" si="12"/>
        <v>53.282701277631318</v>
      </c>
      <c r="W260" s="3">
        <f t="shared" ca="1" si="13"/>
        <v>46018</v>
      </c>
      <c r="X260" s="3">
        <f t="shared" si="14"/>
        <v>26556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5">
        <v>21427700000000</v>
      </c>
      <c r="R261">
        <v>78.5</v>
      </c>
      <c r="S261">
        <v>9.6</v>
      </c>
      <c r="T261">
        <v>36.6</v>
      </c>
      <c r="U261">
        <v>328239523</v>
      </c>
      <c r="V261">
        <f t="shared" ca="1" si="12"/>
        <v>76.088287583558525</v>
      </c>
      <c r="W261" s="3">
        <f t="shared" ca="1" si="13"/>
        <v>46018</v>
      </c>
      <c r="X261" s="3">
        <f t="shared" si="14"/>
        <v>18227</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5">
        <v>19910000000000</v>
      </c>
      <c r="R262">
        <v>77</v>
      </c>
      <c r="S262">
        <v>9.4</v>
      </c>
      <c r="T262">
        <v>59.2</v>
      </c>
      <c r="U262">
        <v>1397715000</v>
      </c>
      <c r="V262">
        <f t="shared" ca="1" si="12"/>
        <v>69.488031914893611</v>
      </c>
      <c r="W262" s="3">
        <f t="shared" ca="1" si="13"/>
        <v>46018</v>
      </c>
      <c r="X262" s="3">
        <f t="shared" si="14"/>
        <v>20637</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5">
        <v>19910000000000</v>
      </c>
      <c r="R263">
        <v>77</v>
      </c>
      <c r="S263">
        <v>9.4</v>
      </c>
      <c r="T263">
        <v>59.2</v>
      </c>
      <c r="U263">
        <v>1397715000</v>
      </c>
      <c r="V263">
        <f t="shared" ca="1" si="12"/>
        <v>55.980835044490078</v>
      </c>
      <c r="W263" s="3">
        <f t="shared" ca="1" si="13"/>
        <v>46018</v>
      </c>
      <c r="X263" s="3">
        <f t="shared" si="14"/>
        <v>25571</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5">
        <v>19910000000000</v>
      </c>
      <c r="R264">
        <v>77</v>
      </c>
      <c r="S264">
        <v>9.4</v>
      </c>
      <c r="T264">
        <v>59.2</v>
      </c>
      <c r="U264">
        <v>1397715000</v>
      </c>
      <c r="V264">
        <f t="shared" ca="1" si="12"/>
        <v>61.403161706261592</v>
      </c>
      <c r="W264" s="3">
        <f t="shared" ca="1" si="13"/>
        <v>46018</v>
      </c>
      <c r="X264" s="3">
        <f t="shared" si="14"/>
        <v>23590</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5">
        <v>2715518274227</v>
      </c>
      <c r="R265">
        <v>82.5</v>
      </c>
      <c r="S265">
        <v>24.2</v>
      </c>
      <c r="T265">
        <v>60.7</v>
      </c>
      <c r="U265">
        <v>67059887</v>
      </c>
      <c r="V265">
        <f t="shared" ca="1" si="12"/>
        <v>58.561948955916478</v>
      </c>
      <c r="W265" s="3">
        <f t="shared" ca="1" si="13"/>
        <v>46018</v>
      </c>
      <c r="X265" s="3">
        <f t="shared" si="14"/>
        <v>24628</v>
      </c>
    </row>
    <row r="266" spans="1:24" x14ac:dyDescent="0.3">
      <c r="A266">
        <v>282</v>
      </c>
      <c r="B266" t="s">
        <v>103</v>
      </c>
      <c r="C266" t="s">
        <v>1101</v>
      </c>
      <c r="D266" t="s">
        <v>23</v>
      </c>
      <c r="E266" t="s">
        <v>365</v>
      </c>
      <c r="F266" t="s">
        <v>366</v>
      </c>
      <c r="G266" t="s">
        <v>103</v>
      </c>
      <c r="H266" t="b">
        <v>0</v>
      </c>
      <c r="I266" t="s">
        <v>1798</v>
      </c>
      <c r="J266" t="s">
        <v>1102</v>
      </c>
      <c r="K266" t="s">
        <v>1103</v>
      </c>
      <c r="L266">
        <v>7700</v>
      </c>
      <c r="M266">
        <v>1980</v>
      </c>
      <c r="N266">
        <v>7</v>
      </c>
      <c r="O266">
        <v>30</v>
      </c>
      <c r="P266">
        <v>110.05</v>
      </c>
      <c r="Q266" s="5">
        <v>2715518274227</v>
      </c>
      <c r="R266">
        <v>82.5</v>
      </c>
      <c r="S266">
        <v>24.2</v>
      </c>
      <c r="T266">
        <v>60.7</v>
      </c>
      <c r="U266">
        <v>67059887</v>
      </c>
      <c r="V266">
        <f t="shared" ca="1" si="12"/>
        <v>45.408641828353772</v>
      </c>
      <c r="W266" s="3">
        <f t="shared" ca="1" si="13"/>
        <v>46018</v>
      </c>
      <c r="X266" s="3">
        <f t="shared" si="14"/>
        <v>29432</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5">
        <v>21427700000000</v>
      </c>
      <c r="R267">
        <v>78.5</v>
      </c>
      <c r="S267">
        <v>9.6</v>
      </c>
      <c r="T267">
        <v>36.6</v>
      </c>
      <c r="U267">
        <v>328239523</v>
      </c>
      <c r="V267">
        <f t="shared" ca="1" si="12"/>
        <v>82.846681620266523</v>
      </c>
      <c r="W267" s="3">
        <f t="shared" ca="1" si="13"/>
        <v>46018</v>
      </c>
      <c r="X267" s="3">
        <f t="shared" si="14"/>
        <v>15758</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5">
        <v>19910000000000</v>
      </c>
      <c r="R268">
        <v>77</v>
      </c>
      <c r="S268">
        <v>9.4</v>
      </c>
      <c r="T268">
        <v>59.2</v>
      </c>
      <c r="U268">
        <v>1397715000</v>
      </c>
      <c r="V268">
        <f t="shared" ca="1" si="12"/>
        <v>57.107481708756197</v>
      </c>
      <c r="W268" s="3">
        <f t="shared" ca="1" si="13"/>
        <v>46018</v>
      </c>
      <c r="X268" s="3">
        <f t="shared" si="14"/>
        <v>25159</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5">
        <v>19910000000000</v>
      </c>
      <c r="R269">
        <v>77</v>
      </c>
      <c r="S269">
        <v>9.4</v>
      </c>
      <c r="T269">
        <v>59.2</v>
      </c>
      <c r="U269">
        <v>1397715000</v>
      </c>
      <c r="V269">
        <f t="shared" ca="1" si="12"/>
        <v>74.321019201284955</v>
      </c>
      <c r="W269" s="3">
        <f t="shared" ca="1" si="13"/>
        <v>46018</v>
      </c>
      <c r="X269" s="3">
        <f t="shared" si="14"/>
        <v>18872</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5">
        <v>21427700000000</v>
      </c>
      <c r="R270">
        <v>78.5</v>
      </c>
      <c r="S270">
        <v>9.6</v>
      </c>
      <c r="T270">
        <v>36.6</v>
      </c>
      <c r="U270">
        <v>328239523</v>
      </c>
      <c r="V270">
        <f t="shared" ca="1" si="12"/>
        <v>71.26899383983573</v>
      </c>
      <c r="W270" s="3">
        <f t="shared" ca="1" si="13"/>
        <v>46018</v>
      </c>
      <c r="X270" s="3">
        <f t="shared" si="14"/>
        <v>19987</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5">
        <v>21427700000000</v>
      </c>
      <c r="R271">
        <v>78.5</v>
      </c>
      <c r="S271">
        <v>9.6</v>
      </c>
      <c r="T271">
        <v>36.6</v>
      </c>
      <c r="U271">
        <v>328239523</v>
      </c>
      <c r="V271">
        <f t="shared" ca="1" si="12"/>
        <v>70.98083522924459</v>
      </c>
      <c r="W271" s="3">
        <f t="shared" ca="1" si="13"/>
        <v>46018</v>
      </c>
      <c r="X271" s="3">
        <f t="shared" si="14"/>
        <v>20092</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5">
        <v>403336363636</v>
      </c>
      <c r="R272">
        <v>82.8</v>
      </c>
      <c r="S272">
        <v>23.9</v>
      </c>
      <c r="T272">
        <v>36.200000000000003</v>
      </c>
      <c r="U272">
        <v>5347896</v>
      </c>
      <c r="V272">
        <f t="shared" ca="1" si="12"/>
        <v>64.512657428078015</v>
      </c>
      <c r="W272" s="3">
        <f t="shared" ca="1" si="13"/>
        <v>46018</v>
      </c>
      <c r="X272" s="3">
        <f t="shared" si="14"/>
        <v>22455</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5">
        <v>19910000000000</v>
      </c>
      <c r="R273">
        <v>77</v>
      </c>
      <c r="S273">
        <v>9.4</v>
      </c>
      <c r="T273">
        <v>59.2</v>
      </c>
      <c r="U273">
        <v>1397715000</v>
      </c>
      <c r="V273">
        <f t="shared" ca="1" si="12"/>
        <v>57.425064904413503</v>
      </c>
      <c r="W273" s="3">
        <f t="shared" ca="1" si="13"/>
        <v>46018</v>
      </c>
      <c r="X273" s="3">
        <f t="shared" si="14"/>
        <v>25043</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5">
        <v>2611000000000</v>
      </c>
      <c r="R274">
        <v>69.400000000000006</v>
      </c>
      <c r="S274">
        <v>11.2</v>
      </c>
      <c r="T274">
        <v>49.7</v>
      </c>
      <c r="U274">
        <v>1366417754</v>
      </c>
      <c r="V274">
        <f t="shared" ca="1" si="12"/>
        <v>92.271726330664151</v>
      </c>
      <c r="W274" s="3">
        <f t="shared" ca="1" si="13"/>
        <v>46018</v>
      </c>
      <c r="X274" s="3">
        <f t="shared" si="14"/>
        <v>12316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5">
        <v>2827113184696</v>
      </c>
      <c r="R275">
        <v>81.3</v>
      </c>
      <c r="S275">
        <v>25.5</v>
      </c>
      <c r="T275">
        <v>30.6</v>
      </c>
      <c r="U275">
        <v>66834405</v>
      </c>
      <c r="V275">
        <f t="shared" ca="1" si="12"/>
        <v>70.063664057378631</v>
      </c>
      <c r="W275" s="3">
        <f t="shared" ca="1" si="13"/>
        <v>46018</v>
      </c>
      <c r="X275" s="3">
        <f t="shared" si="14"/>
        <v>20427</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5">
        <v>21427700000000</v>
      </c>
      <c r="R276">
        <v>78.5</v>
      </c>
      <c r="S276">
        <v>9.6</v>
      </c>
      <c r="T276">
        <v>36.6</v>
      </c>
      <c r="U276">
        <v>328239523</v>
      </c>
      <c r="V276">
        <f t="shared" ca="1" si="12"/>
        <v>44.351119493794108</v>
      </c>
      <c r="W276" s="3">
        <f t="shared" ca="1" si="13"/>
        <v>46018</v>
      </c>
      <c r="X276" s="3">
        <f t="shared" si="14"/>
        <v>29819</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5">
        <v>372062527489</v>
      </c>
      <c r="R277">
        <v>83.1</v>
      </c>
      <c r="S277">
        <v>13.1</v>
      </c>
      <c r="T277">
        <v>21</v>
      </c>
      <c r="U277">
        <v>5703569</v>
      </c>
      <c r="V277">
        <f t="shared" ca="1" si="12"/>
        <v>66.986310885910427</v>
      </c>
      <c r="W277" s="3">
        <f t="shared" ca="1" si="13"/>
        <v>46018</v>
      </c>
      <c r="X277" s="3">
        <f t="shared" si="14"/>
        <v>21551</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5">
        <v>2827113184696</v>
      </c>
      <c r="R278">
        <v>81.3</v>
      </c>
      <c r="S278">
        <v>25.5</v>
      </c>
      <c r="T278">
        <v>30.6</v>
      </c>
      <c r="U278">
        <v>66834405</v>
      </c>
      <c r="V278">
        <f t="shared" ca="1" si="12"/>
        <v>68.808348543766371</v>
      </c>
      <c r="W278" s="3">
        <f t="shared" ca="1" si="13"/>
        <v>46018</v>
      </c>
      <c r="X278" s="3">
        <f t="shared" si="14"/>
        <v>20886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5">
        <v>21427700000000</v>
      </c>
      <c r="R279">
        <v>78.5</v>
      </c>
      <c r="S279">
        <v>9.6</v>
      </c>
      <c r="T279">
        <v>36.6</v>
      </c>
      <c r="U279">
        <v>328239523</v>
      </c>
      <c r="V279">
        <f t="shared" ca="1" si="12"/>
        <v>87.750855578370974</v>
      </c>
      <c r="W279" s="3">
        <f t="shared" ca="1" si="13"/>
        <v>46018</v>
      </c>
      <c r="X279" s="3">
        <f t="shared" si="14"/>
        <v>13967</v>
      </c>
    </row>
    <row r="280" spans="1:24" x14ac:dyDescent="0.3">
      <c r="A280">
        <v>290</v>
      </c>
      <c r="B280" t="s">
        <v>351</v>
      </c>
      <c r="C280" t="s">
        <v>1141</v>
      </c>
      <c r="D280" t="s">
        <v>105</v>
      </c>
      <c r="E280" t="s">
        <v>246</v>
      </c>
      <c r="F280" t="s">
        <v>517</v>
      </c>
      <c r="G280" t="s">
        <v>351</v>
      </c>
      <c r="H280" t="b">
        <v>1</v>
      </c>
      <c r="I280" t="s">
        <v>1798</v>
      </c>
      <c r="J280" t="s">
        <v>108</v>
      </c>
      <c r="K280" t="s">
        <v>1142</v>
      </c>
      <c r="L280">
        <v>7600</v>
      </c>
      <c r="M280">
        <v>1961</v>
      </c>
      <c r="N280">
        <v>1</v>
      </c>
      <c r="O280">
        <v>1</v>
      </c>
      <c r="P280">
        <v>125.08</v>
      </c>
      <c r="Q280" s="5">
        <v>19910000000000</v>
      </c>
      <c r="R280">
        <v>77</v>
      </c>
      <c r="S280">
        <v>9.4</v>
      </c>
      <c r="T280">
        <v>59.2</v>
      </c>
      <c r="U280">
        <v>1397715000</v>
      </c>
      <c r="V280">
        <f t="shared" ca="1" si="12"/>
        <v>64.986310601912308</v>
      </c>
      <c r="W280" s="3">
        <f t="shared" ca="1" si="13"/>
        <v>46018</v>
      </c>
      <c r="X280" s="3">
        <f t="shared" si="14"/>
        <v>22282</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5">
        <v>21427700000000</v>
      </c>
      <c r="R281">
        <v>78.5</v>
      </c>
      <c r="S281">
        <v>9.6</v>
      </c>
      <c r="T281">
        <v>36.6</v>
      </c>
      <c r="U281">
        <v>328239523</v>
      </c>
      <c r="V281">
        <f t="shared" ca="1" si="12"/>
        <v>83.249828884325808</v>
      </c>
      <c r="W281" s="3">
        <f t="shared" ca="1" si="13"/>
        <v>46018</v>
      </c>
      <c r="X281" s="3">
        <f t="shared" si="14"/>
        <v>15611</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5">
        <v>21427700000000</v>
      </c>
      <c r="R282">
        <v>78.5</v>
      </c>
      <c r="S282">
        <v>9.6</v>
      </c>
      <c r="T282">
        <v>36.6</v>
      </c>
      <c r="U282">
        <v>328239523</v>
      </c>
      <c r="V282">
        <f t="shared" ca="1" si="12"/>
        <v>87.89596167008898</v>
      </c>
      <c r="W282" s="3">
        <f t="shared" ca="1" si="13"/>
        <v>46018</v>
      </c>
      <c r="X282" s="3">
        <f t="shared" si="14"/>
        <v>13914</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5">
        <v>19910000000000</v>
      </c>
      <c r="R283">
        <v>77</v>
      </c>
      <c r="S283">
        <v>9.4</v>
      </c>
      <c r="T283">
        <v>59.2</v>
      </c>
      <c r="U283">
        <v>1397715000</v>
      </c>
      <c r="V283">
        <f t="shared" ca="1" si="12"/>
        <v>61.986311048308757</v>
      </c>
      <c r="W283" s="3">
        <f t="shared" ca="1" si="13"/>
        <v>46018</v>
      </c>
      <c r="X283" s="3">
        <f t="shared" si="14"/>
        <v>23377</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5">
        <v>21427700000000</v>
      </c>
      <c r="R284">
        <v>78.5</v>
      </c>
      <c r="S284">
        <v>9.6</v>
      </c>
      <c r="T284">
        <v>36.6</v>
      </c>
      <c r="U284">
        <v>328239523</v>
      </c>
      <c r="V284">
        <f t="shared" ca="1" si="12"/>
        <v>71.247091033538666</v>
      </c>
      <c r="W284" s="3">
        <f t="shared" ca="1" si="13"/>
        <v>46018</v>
      </c>
      <c r="X284" s="3">
        <f t="shared" si="14"/>
        <v>19995</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5">
        <v>21427700000000</v>
      </c>
      <c r="R285">
        <v>78.5</v>
      </c>
      <c r="S285">
        <v>9.6</v>
      </c>
      <c r="T285">
        <v>36.6</v>
      </c>
      <c r="U285">
        <v>328239523</v>
      </c>
      <c r="V285">
        <f t="shared" ca="1" si="12"/>
        <v>81.972621949183662</v>
      </c>
      <c r="W285" s="3">
        <f t="shared" ca="1" si="13"/>
        <v>46018</v>
      </c>
      <c r="X285" s="3">
        <f t="shared" si="14"/>
        <v>16077</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5">
        <v>372062527489</v>
      </c>
      <c r="R286">
        <v>83.1</v>
      </c>
      <c r="S286">
        <v>13.1</v>
      </c>
      <c r="T286">
        <v>21</v>
      </c>
      <c r="U286">
        <v>5703569</v>
      </c>
      <c r="V286">
        <f t="shared" ca="1" si="12"/>
        <v>55.49075975359343</v>
      </c>
      <c r="W286" s="3">
        <f t="shared" ca="1" si="13"/>
        <v>46018</v>
      </c>
      <c r="X286" s="3">
        <f t="shared" si="14"/>
        <v>25750</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5">
        <v>21427700000000</v>
      </c>
      <c r="R287">
        <v>78.5</v>
      </c>
      <c r="S287">
        <v>9.6</v>
      </c>
      <c r="T287">
        <v>36.6</v>
      </c>
      <c r="U287">
        <v>328239523</v>
      </c>
      <c r="V287">
        <f t="shared" ca="1" si="12"/>
        <v>82.97262171790473</v>
      </c>
      <c r="W287" s="3">
        <f t="shared" ca="1" si="13"/>
        <v>46018</v>
      </c>
      <c r="X287" s="3">
        <f t="shared" si="14"/>
        <v>15712</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5">
        <v>2827113184696</v>
      </c>
      <c r="R288">
        <v>81.3</v>
      </c>
      <c r="S288">
        <v>25.5</v>
      </c>
      <c r="T288">
        <v>30.6</v>
      </c>
      <c r="U288">
        <v>66834405</v>
      </c>
      <c r="V288">
        <f t="shared" ca="1" si="12"/>
        <v>73.375781567945538</v>
      </c>
      <c r="W288" s="3">
        <f t="shared" ca="1" si="13"/>
        <v>46018</v>
      </c>
      <c r="X288" s="3">
        <f t="shared" si="14"/>
        <v>19217</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5">
        <v>19910000000000</v>
      </c>
      <c r="R289">
        <v>77</v>
      </c>
      <c r="S289">
        <v>9.4</v>
      </c>
      <c r="T289">
        <v>59.2</v>
      </c>
      <c r="U289">
        <v>1397715000</v>
      </c>
      <c r="V289">
        <f t="shared" ca="1" si="12"/>
        <v>61.986311048308757</v>
      </c>
      <c r="W289" s="3">
        <f t="shared" ca="1" si="13"/>
        <v>46018</v>
      </c>
      <c r="X289" s="3">
        <f t="shared" si="14"/>
        <v>23377</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5">
        <v>372062527489</v>
      </c>
      <c r="R290">
        <v>83.1</v>
      </c>
      <c r="S290">
        <v>13.1</v>
      </c>
      <c r="T290">
        <v>21</v>
      </c>
      <c r="U290">
        <v>5703569</v>
      </c>
      <c r="V290">
        <f t="shared" ca="1" si="12"/>
        <v>73.986310999297046</v>
      </c>
      <c r="W290" s="3">
        <f t="shared" ca="1" si="13"/>
        <v>46018</v>
      </c>
      <c r="X290" s="3">
        <f t="shared" si="14"/>
        <v>18994</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5">
        <v>21427700000000</v>
      </c>
      <c r="R291">
        <v>78.5</v>
      </c>
      <c r="S291">
        <v>9.6</v>
      </c>
      <c r="T291">
        <v>36.6</v>
      </c>
      <c r="U291">
        <v>328239523</v>
      </c>
      <c r="V291">
        <f t="shared" ca="1" si="12"/>
        <v>74.742644374680594</v>
      </c>
      <c r="W291" s="3">
        <f t="shared" ca="1" si="13"/>
        <v>46018</v>
      </c>
      <c r="X291" s="3">
        <f t="shared" si="14"/>
        <v>18718</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5">
        <v>303175127598</v>
      </c>
      <c r="R292">
        <v>71.8</v>
      </c>
      <c r="S292">
        <v>12.5</v>
      </c>
      <c r="T292">
        <v>44.4</v>
      </c>
      <c r="U292">
        <v>100388073</v>
      </c>
      <c r="V292">
        <f t="shared" ca="1" si="12"/>
        <v>64.937028768796594</v>
      </c>
      <c r="W292" s="3">
        <f t="shared" ca="1" si="13"/>
        <v>46018</v>
      </c>
      <c r="X292" s="3">
        <f t="shared" si="14"/>
        <v>22300</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5">
        <v>21427700000000</v>
      </c>
      <c r="R293">
        <v>78.5</v>
      </c>
      <c r="S293">
        <v>9.6</v>
      </c>
      <c r="T293">
        <v>36.6</v>
      </c>
      <c r="U293">
        <v>328239523</v>
      </c>
      <c r="V293">
        <f t="shared" ca="1" si="12"/>
        <v>84.074598982155507</v>
      </c>
      <c r="W293" s="3">
        <f t="shared" ca="1" si="13"/>
        <v>46018</v>
      </c>
      <c r="X293" s="3">
        <f t="shared" si="14"/>
        <v>15310</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5">
        <v>2611000000000</v>
      </c>
      <c r="R294">
        <v>69.400000000000006</v>
      </c>
      <c r="S294">
        <v>11.2</v>
      </c>
      <c r="T294">
        <v>49.7</v>
      </c>
      <c r="U294">
        <v>1366417754</v>
      </c>
      <c r="V294">
        <f t="shared" ca="1" si="12"/>
        <v>94.572898354419436</v>
      </c>
      <c r="W294" s="3">
        <f t="shared" ca="1" si="13"/>
        <v>46018</v>
      </c>
      <c r="X294" s="3">
        <f t="shared" si="14"/>
        <v>11475</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5">
        <v>1699876578871</v>
      </c>
      <c r="R295">
        <v>72.7</v>
      </c>
      <c r="S295">
        <v>11.4</v>
      </c>
      <c r="T295">
        <v>46.2</v>
      </c>
      <c r="U295">
        <v>144373535</v>
      </c>
      <c r="V295">
        <f t="shared" ca="1" si="12"/>
        <v>62.060927382556166</v>
      </c>
      <c r="W295" s="3">
        <f t="shared" ca="1" si="13"/>
        <v>46018</v>
      </c>
      <c r="X295" s="3">
        <f t="shared" si="14"/>
        <v>23350</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5">
        <v>348078018464</v>
      </c>
      <c r="R296">
        <v>81</v>
      </c>
      <c r="S296">
        <v>32.4</v>
      </c>
      <c r="T296">
        <v>23.8</v>
      </c>
      <c r="U296">
        <v>5818553</v>
      </c>
      <c r="V296">
        <f t="shared" ca="1" si="12"/>
        <v>53.1430744270939</v>
      </c>
      <c r="W296" s="3">
        <f t="shared" ca="1" si="13"/>
        <v>46018</v>
      </c>
      <c r="X296" s="3">
        <f t="shared" si="14"/>
        <v>26607</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5">
        <v>376795508680</v>
      </c>
      <c r="R297">
        <v>71.099999999999994</v>
      </c>
      <c r="S297">
        <v>14</v>
      </c>
      <c r="T297">
        <v>43.1</v>
      </c>
      <c r="U297">
        <v>108116615</v>
      </c>
      <c r="V297">
        <f t="shared" ca="1" si="12"/>
        <v>65.816567801883266</v>
      </c>
      <c r="W297" s="3">
        <f t="shared" ca="1" si="13"/>
        <v>46018</v>
      </c>
      <c r="X297" s="3">
        <f t="shared" si="14"/>
        <v>21978</v>
      </c>
    </row>
    <row r="298" spans="1:24" x14ac:dyDescent="0.3">
      <c r="A298">
        <v>312</v>
      </c>
      <c r="B298" t="s">
        <v>38</v>
      </c>
      <c r="C298" t="s">
        <v>1204</v>
      </c>
      <c r="D298" t="s">
        <v>105</v>
      </c>
      <c r="E298" t="s">
        <v>192</v>
      </c>
      <c r="F298" t="s">
        <v>1205</v>
      </c>
      <c r="G298" t="s">
        <v>38</v>
      </c>
      <c r="H298" t="b">
        <v>1</v>
      </c>
      <c r="I298" t="s">
        <v>1798</v>
      </c>
      <c r="J298" t="s">
        <v>384</v>
      </c>
      <c r="K298" t="s">
        <v>1206</v>
      </c>
      <c r="L298">
        <v>7300</v>
      </c>
      <c r="M298">
        <v>1967</v>
      </c>
      <c r="N298">
        <v>6</v>
      </c>
      <c r="O298">
        <v>3</v>
      </c>
      <c r="P298">
        <v>125.08</v>
      </c>
      <c r="Q298" s="5">
        <v>19910000000000</v>
      </c>
      <c r="R298">
        <v>77</v>
      </c>
      <c r="S298">
        <v>9.4</v>
      </c>
      <c r="T298">
        <v>59.2</v>
      </c>
      <c r="U298">
        <v>1397715000</v>
      </c>
      <c r="V298">
        <f t="shared" ca="1" si="12"/>
        <v>58.567424593967516</v>
      </c>
      <c r="W298" s="3">
        <f t="shared" ca="1" si="13"/>
        <v>46018</v>
      </c>
      <c r="X298" s="3">
        <f t="shared" si="14"/>
        <v>24626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5">
        <v>21427700000000</v>
      </c>
      <c r="R299">
        <v>78.5</v>
      </c>
      <c r="S299">
        <v>9.6</v>
      </c>
      <c r="T299">
        <v>36.6</v>
      </c>
      <c r="U299">
        <v>328239523</v>
      </c>
      <c r="V299">
        <f t="shared" ca="1" si="12"/>
        <v>68.088286643917158</v>
      </c>
      <c r="W299" s="3">
        <f t="shared" ca="1" si="13"/>
        <v>46018</v>
      </c>
      <c r="X299" s="3">
        <f t="shared" si="14"/>
        <v>21149</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5">
        <v>21427700000000</v>
      </c>
      <c r="R300">
        <v>78.5</v>
      </c>
      <c r="S300">
        <v>9.6</v>
      </c>
      <c r="T300">
        <v>36.6</v>
      </c>
      <c r="U300">
        <v>328239523</v>
      </c>
      <c r="V300">
        <f t="shared" ca="1" si="12"/>
        <v>71.047227926078023</v>
      </c>
      <c r="W300" s="3">
        <f t="shared" ca="1" si="13"/>
        <v>46018</v>
      </c>
      <c r="X300" s="3">
        <f t="shared" si="14"/>
        <v>20068</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5">
        <v>21427700000000</v>
      </c>
      <c r="R301">
        <v>78.5</v>
      </c>
      <c r="S301">
        <v>9.6</v>
      </c>
      <c r="T301">
        <v>36.6</v>
      </c>
      <c r="U301">
        <v>328239523</v>
      </c>
      <c r="V301">
        <f t="shared" ca="1" si="12"/>
        <v>82.540044860799583</v>
      </c>
      <c r="W301" s="3">
        <f t="shared" ca="1" si="13"/>
        <v>46018</v>
      </c>
      <c r="X301" s="3">
        <f t="shared" si="14"/>
        <v>15870</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5">
        <v>21427700000000</v>
      </c>
      <c r="R302">
        <v>78.5</v>
      </c>
      <c r="S302">
        <v>9.6</v>
      </c>
      <c r="T302">
        <v>36.6</v>
      </c>
      <c r="U302">
        <v>328239523</v>
      </c>
      <c r="V302">
        <f t="shared" ca="1" si="12"/>
        <v>81.186871890754901</v>
      </c>
      <c r="W302" s="3">
        <f t="shared" ca="1" si="13"/>
        <v>46018</v>
      </c>
      <c r="X302" s="3">
        <f t="shared" si="14"/>
        <v>16364</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5">
        <v>421142267938</v>
      </c>
      <c r="R303">
        <v>77.8</v>
      </c>
      <c r="S303">
        <v>0.1</v>
      </c>
      <c r="T303">
        <v>15.9</v>
      </c>
      <c r="U303">
        <v>9770529</v>
      </c>
      <c r="V303">
        <f t="shared" ca="1" si="12"/>
        <v>44.3675468483816</v>
      </c>
      <c r="W303" s="3">
        <f t="shared" ca="1" si="13"/>
        <v>46018</v>
      </c>
      <c r="X303" s="3">
        <f t="shared" si="14"/>
        <v>29813</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5">
        <v>5081769542380</v>
      </c>
      <c r="R304">
        <v>84.2</v>
      </c>
      <c r="S304">
        <v>11.9</v>
      </c>
      <c r="T304">
        <v>46.7</v>
      </c>
      <c r="U304">
        <v>126226568</v>
      </c>
      <c r="V304">
        <f t="shared" ca="1" si="12"/>
        <v>64.46063771534476</v>
      </c>
      <c r="W304" s="3">
        <f t="shared" ca="1" si="13"/>
        <v>46018</v>
      </c>
      <c r="X304" s="3">
        <f t="shared" si="14"/>
        <v>22474</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5">
        <v>19910000000000</v>
      </c>
      <c r="R305">
        <v>77</v>
      </c>
      <c r="S305">
        <v>9.4</v>
      </c>
      <c r="T305">
        <v>59.2</v>
      </c>
      <c r="U305">
        <v>1397715000</v>
      </c>
      <c r="V305">
        <f t="shared" ca="1" si="12"/>
        <v>80.238871049518337</v>
      </c>
      <c r="W305" s="3">
        <f t="shared" ca="1" si="13"/>
        <v>46018</v>
      </c>
      <c r="X305" s="3">
        <f t="shared" si="14"/>
        <v>16711</v>
      </c>
    </row>
    <row r="306" spans="1:24" x14ac:dyDescent="0.3">
      <c r="A306">
        <v>325</v>
      </c>
      <c r="B306" t="s">
        <v>38</v>
      </c>
      <c r="C306" t="s">
        <v>1233</v>
      </c>
      <c r="D306" t="s">
        <v>32</v>
      </c>
      <c r="E306" t="s">
        <v>1234</v>
      </c>
      <c r="F306" t="s">
        <v>1235</v>
      </c>
      <c r="G306" t="s">
        <v>38</v>
      </c>
      <c r="H306" t="b">
        <v>1</v>
      </c>
      <c r="I306" t="s">
        <v>1798</v>
      </c>
      <c r="J306" t="s">
        <v>1236</v>
      </c>
      <c r="K306" t="s">
        <v>700</v>
      </c>
      <c r="L306">
        <v>7100</v>
      </c>
      <c r="M306">
        <v>1943</v>
      </c>
      <c r="N306">
        <v>8</v>
      </c>
      <c r="O306">
        <v>1</v>
      </c>
      <c r="P306">
        <v>117.24</v>
      </c>
      <c r="Q306" s="5">
        <v>21427700000000</v>
      </c>
      <c r="R306">
        <v>78.5</v>
      </c>
      <c r="S306">
        <v>9.6</v>
      </c>
      <c r="T306">
        <v>36.6</v>
      </c>
      <c r="U306">
        <v>328239523</v>
      </c>
      <c r="V306">
        <f t="shared" ca="1" si="12"/>
        <v>82.405891278532792</v>
      </c>
      <c r="W306" s="3">
        <f t="shared" ca="1" si="13"/>
        <v>46018</v>
      </c>
      <c r="X306" s="3">
        <f t="shared" si="14"/>
        <v>15919</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5">
        <v>446314739528</v>
      </c>
      <c r="R307">
        <v>81.599999999999994</v>
      </c>
      <c r="S307">
        <v>25.4</v>
      </c>
      <c r="T307">
        <v>51.4</v>
      </c>
      <c r="U307">
        <v>8877067</v>
      </c>
      <c r="V307">
        <f t="shared" ca="1" si="12"/>
        <v>78.980835210535432</v>
      </c>
      <c r="W307" s="3">
        <f t="shared" ca="1" si="13"/>
        <v>46018</v>
      </c>
      <c r="X307" s="3">
        <f t="shared" si="14"/>
        <v>17170</v>
      </c>
    </row>
    <row r="308" spans="1:24" x14ac:dyDescent="0.3">
      <c r="A308">
        <v>325</v>
      </c>
      <c r="B308" t="s">
        <v>381</v>
      </c>
      <c r="C308" t="s">
        <v>1240</v>
      </c>
      <c r="D308" t="s">
        <v>32</v>
      </c>
      <c r="E308" t="s">
        <v>1241</v>
      </c>
      <c r="F308" t="s">
        <v>1242</v>
      </c>
      <c r="G308" t="s">
        <v>381</v>
      </c>
      <c r="H308" t="b">
        <v>0</v>
      </c>
      <c r="I308" t="s">
        <v>1798</v>
      </c>
      <c r="J308" t="s">
        <v>1243</v>
      </c>
      <c r="K308" t="s">
        <v>1244</v>
      </c>
      <c r="L308">
        <v>7100</v>
      </c>
      <c r="M308">
        <v>1961</v>
      </c>
      <c r="N308">
        <v>11</v>
      </c>
      <c r="O308">
        <v>16</v>
      </c>
      <c r="P308">
        <v>117.24</v>
      </c>
      <c r="Q308" s="5">
        <v>21427700000000</v>
      </c>
      <c r="R308">
        <v>78.5</v>
      </c>
      <c r="S308">
        <v>9.6</v>
      </c>
      <c r="T308">
        <v>36.6</v>
      </c>
      <c r="U308">
        <v>328239523</v>
      </c>
      <c r="V308">
        <f t="shared" ca="1" si="12"/>
        <v>64.112927003917278</v>
      </c>
      <c r="W308" s="3">
        <f t="shared" ca="1" si="13"/>
        <v>46018</v>
      </c>
      <c r="X308" s="3">
        <f t="shared" si="14"/>
        <v>22601</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5">
        <v>19910000000000</v>
      </c>
      <c r="R309">
        <v>77</v>
      </c>
      <c r="S309">
        <v>9.4</v>
      </c>
      <c r="T309">
        <v>59.2</v>
      </c>
      <c r="U309">
        <v>1397715000</v>
      </c>
      <c r="V309">
        <f t="shared" ca="1" si="12"/>
        <v>69.033557571964948</v>
      </c>
      <c r="W309" s="3">
        <f t="shared" ca="1" si="13"/>
        <v>46018</v>
      </c>
      <c r="X309" s="3">
        <f t="shared" si="14"/>
        <v>20803</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5">
        <v>703082435360</v>
      </c>
      <c r="R310">
        <v>83.6</v>
      </c>
      <c r="S310">
        <v>10.1</v>
      </c>
      <c r="T310">
        <v>28.8</v>
      </c>
      <c r="U310">
        <v>8574832</v>
      </c>
      <c r="V310">
        <f t="shared" ca="1" si="12"/>
        <v>75.15947980835044</v>
      </c>
      <c r="W310" s="3">
        <f t="shared" ca="1" si="13"/>
        <v>46018</v>
      </c>
      <c r="X310" s="3">
        <f t="shared" si="14"/>
        <v>18566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5">
        <v>372062527489</v>
      </c>
      <c r="R311">
        <v>83.1</v>
      </c>
      <c r="S311">
        <v>13.1</v>
      </c>
      <c r="T311">
        <v>21</v>
      </c>
      <c r="U311">
        <v>5703569</v>
      </c>
      <c r="V311">
        <f t="shared" ca="1" si="12"/>
        <v>96.961669818510259</v>
      </c>
      <c r="W311" s="3">
        <f t="shared" ca="1" si="13"/>
        <v>46018</v>
      </c>
      <c r="X311" s="3">
        <f t="shared" si="14"/>
        <v>10603</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5">
        <v>19910000000000</v>
      </c>
      <c r="R312">
        <v>77</v>
      </c>
      <c r="S312">
        <v>9.4</v>
      </c>
      <c r="T312">
        <v>59.2</v>
      </c>
      <c r="U312">
        <v>1397715000</v>
      </c>
      <c r="V312">
        <f t="shared" ca="1" si="12"/>
        <v>73.986310999297046</v>
      </c>
      <c r="W312" s="3">
        <f t="shared" ca="1" si="13"/>
        <v>46018</v>
      </c>
      <c r="X312" s="3">
        <f t="shared" si="14"/>
        <v>18994</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5">
        <v>21427700000000</v>
      </c>
      <c r="R313">
        <v>78.5</v>
      </c>
      <c r="S313">
        <v>9.6</v>
      </c>
      <c r="T313">
        <v>36.6</v>
      </c>
      <c r="U313">
        <v>328239523</v>
      </c>
      <c r="V313">
        <f t="shared" ca="1" si="12"/>
        <v>61.252583237657866</v>
      </c>
      <c r="W313" s="3">
        <f t="shared" ca="1" si="13"/>
        <v>46018</v>
      </c>
      <c r="X313" s="3">
        <f t="shared" si="14"/>
        <v>23645</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5">
        <v>2827113184696</v>
      </c>
      <c r="R314">
        <v>81.3</v>
      </c>
      <c r="S314">
        <v>25.5</v>
      </c>
      <c r="T314">
        <v>30.6</v>
      </c>
      <c r="U314">
        <v>66834405</v>
      </c>
      <c r="V314">
        <f t="shared" ca="1" si="12"/>
        <v>40.586577629382305</v>
      </c>
      <c r="W314" s="3">
        <f t="shared" ca="1" si="13"/>
        <v>46018</v>
      </c>
      <c r="X314" s="3">
        <f t="shared" si="14"/>
        <v>31194</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5">
        <v>2827113184696</v>
      </c>
      <c r="R315">
        <v>81.3</v>
      </c>
      <c r="S315">
        <v>25.5</v>
      </c>
      <c r="T315">
        <v>30.6</v>
      </c>
      <c r="U315">
        <v>66834405</v>
      </c>
      <c r="V315">
        <f t="shared" ca="1" si="12"/>
        <v>43.748117727583846</v>
      </c>
      <c r="W315" s="3">
        <f t="shared" ca="1" si="13"/>
        <v>46018</v>
      </c>
      <c r="X315" s="3">
        <f t="shared" si="14"/>
        <v>30039</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5">
        <v>21427700000000</v>
      </c>
      <c r="R316">
        <v>78.5</v>
      </c>
      <c r="S316">
        <v>9.6</v>
      </c>
      <c r="T316">
        <v>36.6</v>
      </c>
      <c r="U316">
        <v>328239523</v>
      </c>
      <c r="V316">
        <f t="shared" ca="1" si="12"/>
        <v>80.430522224100045</v>
      </c>
      <c r="W316" s="3">
        <f t="shared" ca="1" si="13"/>
        <v>46018</v>
      </c>
      <c r="X316" s="3">
        <f t="shared" si="14"/>
        <v>16641</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5">
        <v>2611000000000</v>
      </c>
      <c r="R317">
        <v>69.400000000000006</v>
      </c>
      <c r="S317">
        <v>11.2</v>
      </c>
      <c r="T317">
        <v>49.7</v>
      </c>
      <c r="U317">
        <v>1366417754</v>
      </c>
      <c r="V317">
        <f t="shared" ca="1" si="12"/>
        <v>83.175906913073234</v>
      </c>
      <c r="W317" s="3">
        <f t="shared" ca="1" si="13"/>
        <v>46018</v>
      </c>
      <c r="X317" s="3">
        <f t="shared" si="14"/>
        <v>15638</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5">
        <v>21427700000000</v>
      </c>
      <c r="R318">
        <v>78.5</v>
      </c>
      <c r="S318">
        <v>9.6</v>
      </c>
      <c r="T318">
        <v>36.6</v>
      </c>
      <c r="U318">
        <v>328239523</v>
      </c>
      <c r="V318">
        <f t="shared" ca="1" si="12"/>
        <v>86.203291688957421</v>
      </c>
      <c r="W318" s="3">
        <f t="shared" ca="1" si="13"/>
        <v>46018</v>
      </c>
      <c r="X318" s="3">
        <f t="shared" si="14"/>
        <v>14532</v>
      </c>
    </row>
    <row r="319" spans="1:24" x14ac:dyDescent="0.3">
      <c r="A319">
        <v>332</v>
      </c>
      <c r="B319" t="s">
        <v>72</v>
      </c>
      <c r="C319" t="s">
        <v>1279</v>
      </c>
      <c r="D319" t="s">
        <v>74</v>
      </c>
      <c r="E319" t="s">
        <v>75</v>
      </c>
      <c r="F319" t="s">
        <v>72</v>
      </c>
      <c r="G319" t="s">
        <v>72</v>
      </c>
      <c r="H319" t="b">
        <v>0</v>
      </c>
      <c r="I319" t="s">
        <v>1798</v>
      </c>
      <c r="J319" t="s">
        <v>1280</v>
      </c>
      <c r="K319" t="s">
        <v>1281</v>
      </c>
      <c r="L319">
        <v>7000</v>
      </c>
      <c r="M319">
        <v>1967</v>
      </c>
      <c r="N319">
        <v>6</v>
      </c>
      <c r="O319">
        <v>6</v>
      </c>
      <c r="P319">
        <v>180.44</v>
      </c>
      <c r="Q319" s="5">
        <v>2611000000000</v>
      </c>
      <c r="R319">
        <v>69.400000000000006</v>
      </c>
      <c r="S319">
        <v>11.2</v>
      </c>
      <c r="T319">
        <v>49.7</v>
      </c>
      <c r="U319">
        <v>1366417754</v>
      </c>
      <c r="V319">
        <f t="shared" ca="1" si="12"/>
        <v>58.559211136890951</v>
      </c>
      <c r="W319" s="3">
        <f t="shared" ca="1" si="13"/>
        <v>46018</v>
      </c>
      <c r="X319" s="3">
        <f t="shared" si="14"/>
        <v>24629</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5">
        <v>2611000000000</v>
      </c>
      <c r="R320">
        <v>69.400000000000006</v>
      </c>
      <c r="S320">
        <v>11.2</v>
      </c>
      <c r="T320">
        <v>49.7</v>
      </c>
      <c r="U320">
        <v>1366417754</v>
      </c>
      <c r="V320">
        <f t="shared" ca="1" si="12"/>
        <v>61.304601254084609</v>
      </c>
      <c r="W320" s="3">
        <f t="shared" ca="1" si="13"/>
        <v>46018</v>
      </c>
      <c r="X320" s="3">
        <f t="shared" si="14"/>
        <v>23626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5">
        <v>21427700000000</v>
      </c>
      <c r="R321">
        <v>78.5</v>
      </c>
      <c r="S321">
        <v>9.6</v>
      </c>
      <c r="T321">
        <v>36.6</v>
      </c>
      <c r="U321">
        <v>328239523</v>
      </c>
      <c r="V321">
        <f t="shared" ca="1" si="12"/>
        <v>71.995199339909234</v>
      </c>
      <c r="W321" s="3">
        <f t="shared" ca="1" si="13"/>
        <v>46018</v>
      </c>
      <c r="X321" s="3">
        <f t="shared" si="14"/>
        <v>19722</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5">
        <v>21427700000000</v>
      </c>
      <c r="R322">
        <v>78.5</v>
      </c>
      <c r="S322">
        <v>9.6</v>
      </c>
      <c r="T322">
        <v>36.6</v>
      </c>
      <c r="U322">
        <v>328239523</v>
      </c>
      <c r="V322">
        <f t="shared" ref="V322:V385" ca="1" si="15">YEARFRAC(X322,W322,1)</f>
        <v>70.279952184475377</v>
      </c>
      <c r="W322" s="3">
        <f t="shared" ca="1" si="13"/>
        <v>46018</v>
      </c>
      <c r="X322" s="3">
        <f t="shared" si="14"/>
        <v>20348</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5">
        <v>21427700000000</v>
      </c>
      <c r="R323">
        <v>78.5</v>
      </c>
      <c r="S323">
        <v>9.6</v>
      </c>
      <c r="T323">
        <v>36.6</v>
      </c>
      <c r="U323">
        <v>328239523</v>
      </c>
      <c r="V323">
        <f t="shared" ca="1" si="15"/>
        <v>73.832994191424021</v>
      </c>
      <c r="W323" s="3">
        <f t="shared" ref="W323:W386" ca="1" si="16">TODAY()</f>
        <v>46018</v>
      </c>
      <c r="X323" s="3">
        <f t="shared" ref="X323:X386" si="17">DATE(M323,N323,O323)</f>
        <v>19050</v>
      </c>
    </row>
    <row r="324" spans="1:24" x14ac:dyDescent="0.3">
      <c r="A324">
        <v>344</v>
      </c>
      <c r="B324" t="s">
        <v>72</v>
      </c>
      <c r="C324" t="s">
        <v>1294</v>
      </c>
      <c r="D324" t="s">
        <v>32</v>
      </c>
      <c r="E324" t="s">
        <v>831</v>
      </c>
      <c r="F324" t="s">
        <v>1295</v>
      </c>
      <c r="G324" t="s">
        <v>72</v>
      </c>
      <c r="H324" t="b">
        <v>0</v>
      </c>
      <c r="I324" t="s">
        <v>1798</v>
      </c>
      <c r="J324" t="s">
        <v>1296</v>
      </c>
      <c r="K324" t="s">
        <v>1297</v>
      </c>
      <c r="L324">
        <v>6900</v>
      </c>
      <c r="M324">
        <v>1936</v>
      </c>
      <c r="N324">
        <v>1</v>
      </c>
      <c r="O324">
        <v>1</v>
      </c>
      <c r="P324">
        <v>117.24</v>
      </c>
      <c r="Q324" s="5">
        <v>21427700000000</v>
      </c>
      <c r="R324">
        <v>78.5</v>
      </c>
      <c r="S324">
        <v>9.6</v>
      </c>
      <c r="T324">
        <v>36.6</v>
      </c>
      <c r="U324">
        <v>328239523</v>
      </c>
      <c r="V324">
        <f t="shared" ca="1" si="15"/>
        <v>89.986310954278593</v>
      </c>
      <c r="W324" s="3">
        <f t="shared" ca="1" si="16"/>
        <v>46018</v>
      </c>
      <c r="X324" s="3">
        <f t="shared" si="17"/>
        <v>13150</v>
      </c>
    </row>
    <row r="325" spans="1:24" x14ac:dyDescent="0.3">
      <c r="A325">
        <v>344</v>
      </c>
      <c r="B325" t="s">
        <v>103</v>
      </c>
      <c r="C325" t="s">
        <v>1298</v>
      </c>
      <c r="D325" t="s">
        <v>32</v>
      </c>
      <c r="E325" t="s">
        <v>1299</v>
      </c>
      <c r="F325" t="s">
        <v>1300</v>
      </c>
      <c r="G325" t="s">
        <v>103</v>
      </c>
      <c r="H325" t="b">
        <v>0</v>
      </c>
      <c r="I325" t="s">
        <v>1798</v>
      </c>
      <c r="J325" t="s">
        <v>1301</v>
      </c>
      <c r="K325" t="s">
        <v>1302</v>
      </c>
      <c r="L325">
        <v>6900</v>
      </c>
      <c r="M325">
        <v>1934</v>
      </c>
      <c r="N325">
        <v>1</v>
      </c>
      <c r="O325">
        <v>1</v>
      </c>
      <c r="P325">
        <v>117.24</v>
      </c>
      <c r="Q325" s="5">
        <v>21427700000000</v>
      </c>
      <c r="R325">
        <v>78.5</v>
      </c>
      <c r="S325">
        <v>9.6</v>
      </c>
      <c r="T325">
        <v>36.6</v>
      </c>
      <c r="U325">
        <v>328239523</v>
      </c>
      <c r="V325">
        <f t="shared" ca="1" si="15"/>
        <v>91.986310746064333</v>
      </c>
      <c r="W325" s="3">
        <f t="shared" ca="1" si="16"/>
        <v>46018</v>
      </c>
      <c r="X325" s="3">
        <f t="shared" si="17"/>
        <v>12420</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5">
        <v>21427700000000</v>
      </c>
      <c r="R326">
        <v>78.5</v>
      </c>
      <c r="S326">
        <v>9.6</v>
      </c>
      <c r="T326">
        <v>36.6</v>
      </c>
      <c r="U326">
        <v>328239523</v>
      </c>
      <c r="V326">
        <f t="shared" ca="1" si="15"/>
        <v>58.279953596287704</v>
      </c>
      <c r="W326" s="3">
        <f t="shared" ca="1" si="16"/>
        <v>46018</v>
      </c>
      <c r="X326" s="3">
        <f t="shared" si="17"/>
        <v>24731</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5">
        <v>19910000000000</v>
      </c>
      <c r="R327">
        <v>77</v>
      </c>
      <c r="S327">
        <v>9.4</v>
      </c>
      <c r="T327">
        <v>59.2</v>
      </c>
      <c r="U327">
        <v>1397715000</v>
      </c>
      <c r="V327">
        <f t="shared" ca="1" si="15"/>
        <v>61.260796608672614</v>
      </c>
      <c r="W327" s="3">
        <f t="shared" ca="1" si="16"/>
        <v>46018</v>
      </c>
      <c r="X327" s="3">
        <f t="shared" si="17"/>
        <v>23642</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5">
        <v>21427700000000</v>
      </c>
      <c r="R328">
        <v>78.5</v>
      </c>
      <c r="S328">
        <v>9.6</v>
      </c>
      <c r="T328">
        <v>36.6</v>
      </c>
      <c r="U328">
        <v>328239523</v>
      </c>
      <c r="V328">
        <f t="shared" ca="1" si="15"/>
        <v>83.26899383983573</v>
      </c>
      <c r="W328" s="3">
        <f t="shared" ca="1" si="16"/>
        <v>46018</v>
      </c>
      <c r="X328" s="3">
        <f t="shared" si="17"/>
        <v>15604</v>
      </c>
    </row>
    <row r="329" spans="1:24" x14ac:dyDescent="0.3">
      <c r="A329">
        <v>344</v>
      </c>
      <c r="B329" t="s">
        <v>21</v>
      </c>
      <c r="C329" t="s">
        <v>1314</v>
      </c>
      <c r="D329" t="s">
        <v>93</v>
      </c>
      <c r="E329" t="s">
        <v>94</v>
      </c>
      <c r="F329" t="s">
        <v>95</v>
      </c>
      <c r="G329" t="s">
        <v>21</v>
      </c>
      <c r="H329" t="b">
        <v>0</v>
      </c>
      <c r="I329" t="s">
        <v>1798</v>
      </c>
      <c r="J329" t="s">
        <v>1315</v>
      </c>
      <c r="K329" t="s">
        <v>1316</v>
      </c>
      <c r="L329">
        <v>6900</v>
      </c>
      <c r="M329">
        <v>1968</v>
      </c>
      <c r="N329">
        <v>7</v>
      </c>
      <c r="O329">
        <v>9</v>
      </c>
      <c r="P329">
        <v>110.96</v>
      </c>
      <c r="Q329" s="5">
        <v>1394116310769</v>
      </c>
      <c r="R329">
        <v>83.3</v>
      </c>
      <c r="S329">
        <v>14.2</v>
      </c>
      <c r="T329">
        <v>47</v>
      </c>
      <c r="U329">
        <v>47076781</v>
      </c>
      <c r="V329">
        <f t="shared" ca="1" si="15"/>
        <v>57.466131696955394</v>
      </c>
      <c r="W329" s="3">
        <f t="shared" ca="1" si="16"/>
        <v>46018</v>
      </c>
      <c r="X329" s="3">
        <f t="shared" si="17"/>
        <v>25028</v>
      </c>
    </row>
    <row r="330" spans="1:24" x14ac:dyDescent="0.3">
      <c r="A330">
        <v>344</v>
      </c>
      <c r="B330" t="s">
        <v>351</v>
      </c>
      <c r="C330" t="s">
        <v>1317</v>
      </c>
      <c r="D330" t="s">
        <v>32</v>
      </c>
      <c r="E330" t="s">
        <v>1318</v>
      </c>
      <c r="F330" t="s">
        <v>1319</v>
      </c>
      <c r="G330" t="s">
        <v>351</v>
      </c>
      <c r="H330" t="b">
        <v>0</v>
      </c>
      <c r="I330" t="s">
        <v>1798</v>
      </c>
      <c r="J330" t="s">
        <v>1320</v>
      </c>
      <c r="K330" t="s">
        <v>1321</v>
      </c>
      <c r="L330">
        <v>6900</v>
      </c>
      <c r="M330">
        <v>1954</v>
      </c>
      <c r="N330">
        <v>5</v>
      </c>
      <c r="O330">
        <v>1</v>
      </c>
      <c r="P330">
        <v>117.24</v>
      </c>
      <c r="Q330" s="5">
        <v>21427700000000</v>
      </c>
      <c r="R330">
        <v>78.5</v>
      </c>
      <c r="S330">
        <v>9.6</v>
      </c>
      <c r="T330">
        <v>36.6</v>
      </c>
      <c r="U330">
        <v>328239523</v>
      </c>
      <c r="V330">
        <f t="shared" ca="1" si="15"/>
        <v>71.657768651608492</v>
      </c>
      <c r="W330" s="3">
        <f t="shared" ca="1" si="16"/>
        <v>46018</v>
      </c>
      <c r="X330" s="3">
        <f t="shared" si="17"/>
        <v>19845</v>
      </c>
    </row>
    <row r="331" spans="1:24" x14ac:dyDescent="0.3">
      <c r="A331">
        <v>352</v>
      </c>
      <c r="B331" t="s">
        <v>292</v>
      </c>
      <c r="C331" t="s">
        <v>1322</v>
      </c>
      <c r="D331" t="s">
        <v>32</v>
      </c>
      <c r="E331" t="s">
        <v>742</v>
      </c>
      <c r="F331" t="s">
        <v>1219</v>
      </c>
      <c r="G331" t="s">
        <v>292</v>
      </c>
      <c r="H331" t="b">
        <v>0</v>
      </c>
      <c r="I331" t="s">
        <v>1798</v>
      </c>
      <c r="J331" t="s">
        <v>1323</v>
      </c>
      <c r="K331" t="s">
        <v>1324</v>
      </c>
      <c r="L331">
        <v>6800</v>
      </c>
      <c r="M331">
        <v>1964</v>
      </c>
      <c r="N331">
        <v>3</v>
      </c>
      <c r="O331">
        <v>9</v>
      </c>
      <c r="P331">
        <v>117.24</v>
      </c>
      <c r="Q331" s="5">
        <v>21427700000000</v>
      </c>
      <c r="R331">
        <v>78.5</v>
      </c>
      <c r="S331">
        <v>9.6</v>
      </c>
      <c r="T331">
        <v>36.6</v>
      </c>
      <c r="U331">
        <v>328239523</v>
      </c>
      <c r="V331">
        <f t="shared" ca="1" si="15"/>
        <v>61.800141305307783</v>
      </c>
      <c r="W331" s="3">
        <f t="shared" ca="1" si="16"/>
        <v>46018</v>
      </c>
      <c r="X331" s="3">
        <f t="shared" si="17"/>
        <v>23445</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5">
        <v>2001244392042</v>
      </c>
      <c r="R332">
        <v>82.9</v>
      </c>
      <c r="S332">
        <v>24.3</v>
      </c>
      <c r="T332">
        <v>59.1</v>
      </c>
      <c r="U332">
        <v>60297396</v>
      </c>
      <c r="V332">
        <f t="shared" ca="1" si="15"/>
        <v>89.241626867033744</v>
      </c>
      <c r="W332" s="3">
        <f t="shared" ca="1" si="16"/>
        <v>46018</v>
      </c>
      <c r="X332" s="3">
        <f t="shared" si="17"/>
        <v>13422</v>
      </c>
    </row>
    <row r="333" spans="1:24" x14ac:dyDescent="0.3">
      <c r="A333">
        <v>352</v>
      </c>
      <c r="B333" t="s">
        <v>196</v>
      </c>
      <c r="C333" t="s">
        <v>1328</v>
      </c>
      <c r="D333" t="s">
        <v>226</v>
      </c>
      <c r="E333" t="s">
        <v>1329</v>
      </c>
      <c r="F333" t="s">
        <v>1330</v>
      </c>
      <c r="G333" t="s">
        <v>196</v>
      </c>
      <c r="H333" t="b">
        <v>1</v>
      </c>
      <c r="I333" t="s">
        <v>1798</v>
      </c>
      <c r="J333" t="s">
        <v>1331</v>
      </c>
      <c r="K333" t="s">
        <v>1332</v>
      </c>
      <c r="L333">
        <v>6800</v>
      </c>
      <c r="M333">
        <v>1967</v>
      </c>
      <c r="N333">
        <v>9</v>
      </c>
      <c r="O333">
        <v>26</v>
      </c>
      <c r="P333">
        <v>119.62</v>
      </c>
      <c r="Q333" s="5">
        <v>2827113184696</v>
      </c>
      <c r="R333">
        <v>81.3</v>
      </c>
      <c r="S333">
        <v>25.5</v>
      </c>
      <c r="T333">
        <v>30.6</v>
      </c>
      <c r="U333">
        <v>66834405</v>
      </c>
      <c r="V333">
        <f t="shared" ca="1" si="15"/>
        <v>58.252575406032484</v>
      </c>
      <c r="W333" s="3">
        <f t="shared" ca="1" si="16"/>
        <v>46018</v>
      </c>
      <c r="X333" s="3">
        <f t="shared" si="17"/>
        <v>24741</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5">
        <v>21427700000000</v>
      </c>
      <c r="R334">
        <v>78.5</v>
      </c>
      <c r="S334">
        <v>9.6</v>
      </c>
      <c r="T334">
        <v>36.6</v>
      </c>
      <c r="U334">
        <v>328239523</v>
      </c>
      <c r="V334">
        <f t="shared" ca="1" si="15"/>
        <v>43.154004106776178</v>
      </c>
      <c r="W334" s="3">
        <f t="shared" ca="1" si="16"/>
        <v>46018</v>
      </c>
      <c r="X334" s="3">
        <f t="shared" si="17"/>
        <v>30256</v>
      </c>
    </row>
    <row r="335" spans="1:24" x14ac:dyDescent="0.3">
      <c r="A335">
        <v>352</v>
      </c>
      <c r="B335" t="s">
        <v>292</v>
      </c>
      <c r="C335" t="s">
        <v>1335</v>
      </c>
      <c r="D335" t="s">
        <v>32</v>
      </c>
      <c r="E335" t="s">
        <v>742</v>
      </c>
      <c r="F335" t="s">
        <v>1219</v>
      </c>
      <c r="G335" t="s">
        <v>292</v>
      </c>
      <c r="H335" t="b">
        <v>0</v>
      </c>
      <c r="I335" t="s">
        <v>1798</v>
      </c>
      <c r="J335" t="s">
        <v>1336</v>
      </c>
      <c r="K335" t="s">
        <v>1337</v>
      </c>
      <c r="L335">
        <v>6800</v>
      </c>
      <c r="M335">
        <v>1969</v>
      </c>
      <c r="N335">
        <v>8</v>
      </c>
      <c r="O335">
        <v>12</v>
      </c>
      <c r="P335">
        <v>117.24</v>
      </c>
      <c r="Q335" s="5">
        <v>21427700000000</v>
      </c>
      <c r="R335">
        <v>78.5</v>
      </c>
      <c r="S335">
        <v>9.6</v>
      </c>
      <c r="T335">
        <v>36.6</v>
      </c>
      <c r="U335">
        <v>328239523</v>
      </c>
      <c r="V335">
        <f t="shared" ca="1" si="15"/>
        <v>56.375762524616938</v>
      </c>
      <c r="W335" s="3">
        <f t="shared" ca="1" si="16"/>
        <v>46018</v>
      </c>
      <c r="X335" s="3">
        <f t="shared" si="17"/>
        <v>25427</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5">
        <v>21427700000000</v>
      </c>
      <c r="R336">
        <v>78.5</v>
      </c>
      <c r="S336">
        <v>9.6</v>
      </c>
      <c r="T336">
        <v>36.6</v>
      </c>
      <c r="U336">
        <v>328239523</v>
      </c>
      <c r="V336">
        <f t="shared" ca="1" si="15"/>
        <v>61.104742559392392</v>
      </c>
      <c r="W336" s="3">
        <f t="shared" ca="1" si="16"/>
        <v>46018</v>
      </c>
      <c r="X336" s="3">
        <f t="shared" si="17"/>
        <v>23699</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5">
        <v>21427700000000</v>
      </c>
      <c r="R337">
        <v>78.5</v>
      </c>
      <c r="S337">
        <v>9.6</v>
      </c>
      <c r="T337">
        <v>36.6</v>
      </c>
      <c r="U337">
        <v>328239523</v>
      </c>
      <c r="V337">
        <f t="shared" ca="1" si="15"/>
        <v>64.12661640200497</v>
      </c>
      <c r="W337" s="3">
        <f t="shared" ca="1" si="16"/>
        <v>46018</v>
      </c>
      <c r="X337" s="3">
        <f t="shared" si="17"/>
        <v>22596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5">
        <v>21427700000000</v>
      </c>
      <c r="R338">
        <v>78.5</v>
      </c>
      <c r="S338">
        <v>9.6</v>
      </c>
      <c r="T338">
        <v>36.6</v>
      </c>
      <c r="U338">
        <v>328239523</v>
      </c>
      <c r="V338">
        <f t="shared" ca="1" si="15"/>
        <v>96.980834909255123</v>
      </c>
      <c r="W338" s="3">
        <f t="shared" ca="1" si="16"/>
        <v>46018</v>
      </c>
      <c r="X338" s="3">
        <f t="shared" si="17"/>
        <v>10596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5">
        <v>21427700000000</v>
      </c>
      <c r="R339">
        <v>78.5</v>
      </c>
      <c r="S339">
        <v>9.6</v>
      </c>
      <c r="T339">
        <v>36.6</v>
      </c>
      <c r="U339">
        <v>328239523</v>
      </c>
      <c r="V339">
        <f t="shared" ca="1" si="15"/>
        <v>56.017099764638068</v>
      </c>
      <c r="W339" s="3">
        <f t="shared" ca="1" si="16"/>
        <v>46018</v>
      </c>
      <c r="X339" s="3">
        <f t="shared" si="17"/>
        <v>25558</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5">
        <v>21427700000000</v>
      </c>
      <c r="R340">
        <v>78.5</v>
      </c>
      <c r="S340">
        <v>9.6</v>
      </c>
      <c r="T340">
        <v>36.6</v>
      </c>
      <c r="U340">
        <v>328239523</v>
      </c>
      <c r="V340">
        <f t="shared" ca="1" si="15"/>
        <v>64.45242407649215</v>
      </c>
      <c r="W340" s="3">
        <f t="shared" ca="1" si="16"/>
        <v>46018</v>
      </c>
      <c r="X340" s="3">
        <f t="shared" si="17"/>
        <v>22477</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5">
        <v>1699876578871</v>
      </c>
      <c r="R341">
        <v>72.7</v>
      </c>
      <c r="S341">
        <v>11.4</v>
      </c>
      <c r="T341">
        <v>46.2</v>
      </c>
      <c r="U341">
        <v>144373535</v>
      </c>
      <c r="V341">
        <f t="shared" ca="1" si="15"/>
        <v>68.70430918181097</v>
      </c>
      <c r="W341" s="3">
        <f t="shared" ca="1" si="16"/>
        <v>46018</v>
      </c>
      <c r="X341" s="3">
        <f t="shared" si="17"/>
        <v>20924</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5">
        <v>19910000000000</v>
      </c>
      <c r="R342">
        <v>77</v>
      </c>
      <c r="S342">
        <v>9.4</v>
      </c>
      <c r="T342">
        <v>59.2</v>
      </c>
      <c r="U342">
        <v>1397715000</v>
      </c>
      <c r="V342">
        <f t="shared" ca="1" si="15"/>
        <v>61.033560010597903</v>
      </c>
      <c r="W342" s="3">
        <f t="shared" ca="1" si="16"/>
        <v>46018</v>
      </c>
      <c r="X342" s="3">
        <f t="shared" si="17"/>
        <v>23725</v>
      </c>
    </row>
    <row r="343" spans="1:24" x14ac:dyDescent="0.3">
      <c r="A343">
        <v>352</v>
      </c>
      <c r="B343" t="s">
        <v>292</v>
      </c>
      <c r="C343" t="s">
        <v>1360</v>
      </c>
      <c r="D343" t="s">
        <v>32</v>
      </c>
      <c r="E343" t="s">
        <v>742</v>
      </c>
      <c r="F343" t="s">
        <v>1219</v>
      </c>
      <c r="G343" t="s">
        <v>292</v>
      </c>
      <c r="H343" t="b">
        <v>0</v>
      </c>
      <c r="I343" t="s">
        <v>1798</v>
      </c>
      <c r="J343" t="s">
        <v>1361</v>
      </c>
      <c r="K343" t="s">
        <v>1362</v>
      </c>
      <c r="L343">
        <v>6800</v>
      </c>
      <c r="M343">
        <v>1961</v>
      </c>
      <c r="N343">
        <v>8</v>
      </c>
      <c r="O343">
        <v>28</v>
      </c>
      <c r="P343">
        <v>117.24</v>
      </c>
      <c r="Q343" s="5">
        <v>21427700000000</v>
      </c>
      <c r="R343">
        <v>78.5</v>
      </c>
      <c r="S343">
        <v>9.6</v>
      </c>
      <c r="T343">
        <v>36.6</v>
      </c>
      <c r="U343">
        <v>328239523</v>
      </c>
      <c r="V343">
        <f t="shared" ca="1" si="15"/>
        <v>64.331957373320421</v>
      </c>
      <c r="W343" s="3">
        <f t="shared" ca="1" si="16"/>
        <v>46018</v>
      </c>
      <c r="X343" s="3">
        <f t="shared" si="17"/>
        <v>22521</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5">
        <v>21427700000000</v>
      </c>
      <c r="R344">
        <v>78.5</v>
      </c>
      <c r="S344">
        <v>9.6</v>
      </c>
      <c r="T344">
        <v>36.6</v>
      </c>
      <c r="U344">
        <v>328239523</v>
      </c>
      <c r="V344">
        <f t="shared" ca="1" si="15"/>
        <v>75.077344284736483</v>
      </c>
      <c r="W344" s="3">
        <f t="shared" ca="1" si="16"/>
        <v>46018</v>
      </c>
      <c r="X344" s="3">
        <f t="shared" si="17"/>
        <v>18596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5">
        <v>2827113184696</v>
      </c>
      <c r="R345">
        <v>81.3</v>
      </c>
      <c r="S345">
        <v>25.5</v>
      </c>
      <c r="T345">
        <v>30.6</v>
      </c>
      <c r="U345">
        <v>66834405</v>
      </c>
      <c r="V345">
        <f t="shared" ca="1" si="15"/>
        <v>59.167693360711844</v>
      </c>
      <c r="W345" s="3">
        <f t="shared" ca="1" si="16"/>
        <v>46018</v>
      </c>
      <c r="X345" s="3">
        <f t="shared" si="17"/>
        <v>24407</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5">
        <v>348078018464</v>
      </c>
      <c r="R346">
        <v>81</v>
      </c>
      <c r="S346">
        <v>32.4</v>
      </c>
      <c r="T346">
        <v>23.8</v>
      </c>
      <c r="U346">
        <v>5818553</v>
      </c>
      <c r="V346">
        <f t="shared" ca="1" si="15"/>
        <v>78.00069312077629</v>
      </c>
      <c r="W346" s="3">
        <f t="shared" ca="1" si="16"/>
        <v>46018</v>
      </c>
      <c r="X346" s="3">
        <f t="shared" si="17"/>
        <v>17528</v>
      </c>
    </row>
    <row r="347" spans="1:24" x14ac:dyDescent="0.3">
      <c r="A347">
        <v>365</v>
      </c>
      <c r="B347" t="s">
        <v>250</v>
      </c>
      <c r="C347" t="s">
        <v>1374</v>
      </c>
      <c r="D347" t="s">
        <v>1195</v>
      </c>
      <c r="E347" t="s">
        <v>1370</v>
      </c>
      <c r="F347" t="s">
        <v>1371</v>
      </c>
      <c r="G347" t="s">
        <v>250</v>
      </c>
      <c r="H347" t="b">
        <v>0</v>
      </c>
      <c r="I347" t="s">
        <v>1798</v>
      </c>
      <c r="J347" t="s">
        <v>1372</v>
      </c>
      <c r="K347" t="s">
        <v>1375</v>
      </c>
      <c r="L347">
        <v>6700</v>
      </c>
      <c r="M347">
        <v>1976</v>
      </c>
      <c r="N347">
        <v>1</v>
      </c>
      <c r="O347">
        <v>1</v>
      </c>
      <c r="P347">
        <v>110.35</v>
      </c>
      <c r="Q347" s="5">
        <v>348078018464</v>
      </c>
      <c r="R347">
        <v>81</v>
      </c>
      <c r="S347">
        <v>32.4</v>
      </c>
      <c r="T347">
        <v>23.8</v>
      </c>
      <c r="U347">
        <v>5818553</v>
      </c>
      <c r="V347">
        <f t="shared" ca="1" si="15"/>
        <v>49.986311120845428</v>
      </c>
      <c r="W347" s="3">
        <f t="shared" ca="1" si="16"/>
        <v>46018</v>
      </c>
      <c r="X347" s="3">
        <f t="shared" si="17"/>
        <v>27760</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5">
        <v>348078018464</v>
      </c>
      <c r="R348">
        <v>81</v>
      </c>
      <c r="S348">
        <v>32.4</v>
      </c>
      <c r="T348">
        <v>23.8</v>
      </c>
      <c r="U348">
        <v>5818553</v>
      </c>
      <c r="V348">
        <f t="shared" ca="1" si="15"/>
        <v>46.986310945418538</v>
      </c>
      <c r="W348" s="3">
        <f t="shared" ca="1" si="16"/>
        <v>46018</v>
      </c>
      <c r="X348" s="3">
        <f t="shared" si="17"/>
        <v>28856</v>
      </c>
    </row>
    <row r="349" spans="1:24" x14ac:dyDescent="0.3">
      <c r="A349">
        <v>365</v>
      </c>
      <c r="B349" t="s">
        <v>351</v>
      </c>
      <c r="C349" t="s">
        <v>1378</v>
      </c>
      <c r="D349" t="s">
        <v>680</v>
      </c>
      <c r="E349" t="s">
        <v>1379</v>
      </c>
      <c r="F349" t="s">
        <v>517</v>
      </c>
      <c r="G349" t="s">
        <v>351</v>
      </c>
      <c r="H349" t="b">
        <v>0</v>
      </c>
      <c r="I349" t="s">
        <v>1798</v>
      </c>
      <c r="J349" t="s">
        <v>1380</v>
      </c>
      <c r="K349" t="s">
        <v>1381</v>
      </c>
      <c r="L349">
        <v>6700</v>
      </c>
      <c r="M349">
        <v>1943</v>
      </c>
      <c r="N349">
        <v>1</v>
      </c>
      <c r="O349">
        <v>1</v>
      </c>
      <c r="P349">
        <v>110.62</v>
      </c>
      <c r="Q349" s="5">
        <v>2001244392042</v>
      </c>
      <c r="R349">
        <v>82.9</v>
      </c>
      <c r="S349">
        <v>24.3</v>
      </c>
      <c r="T349">
        <v>59.1</v>
      </c>
      <c r="U349">
        <v>60297396</v>
      </c>
      <c r="V349">
        <f t="shared" ca="1" si="15"/>
        <v>82.986310858952365</v>
      </c>
      <c r="W349" s="3">
        <f t="shared" ca="1" si="16"/>
        <v>46018</v>
      </c>
      <c r="X349" s="3">
        <f t="shared" si="17"/>
        <v>15707</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5">
        <v>19910000000000</v>
      </c>
      <c r="R350">
        <v>77</v>
      </c>
      <c r="S350">
        <v>9.4</v>
      </c>
      <c r="T350">
        <v>59.2</v>
      </c>
      <c r="U350">
        <v>1397715000</v>
      </c>
      <c r="V350">
        <f t="shared" ca="1" si="15"/>
        <v>57.986311069152705</v>
      </c>
      <c r="W350" s="3">
        <f t="shared" ca="1" si="16"/>
        <v>46018</v>
      </c>
      <c r="X350" s="3">
        <f t="shared" si="17"/>
        <v>24838</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5">
        <v>19910000000000</v>
      </c>
      <c r="R351">
        <v>77</v>
      </c>
      <c r="S351">
        <v>9.4</v>
      </c>
      <c r="T351">
        <v>59.2</v>
      </c>
      <c r="U351">
        <v>1397715000</v>
      </c>
      <c r="V351">
        <f t="shared" ca="1" si="15"/>
        <v>63.405886379192332</v>
      </c>
      <c r="W351" s="3">
        <f t="shared" ca="1" si="16"/>
        <v>46018</v>
      </c>
      <c r="X351" s="3">
        <f t="shared" si="17"/>
        <v>22859</v>
      </c>
    </row>
    <row r="352" spans="1:24" x14ac:dyDescent="0.3">
      <c r="A352">
        <v>365</v>
      </c>
      <c r="B352" t="s">
        <v>250</v>
      </c>
      <c r="C352" t="s">
        <v>1387</v>
      </c>
      <c r="D352" t="s">
        <v>170</v>
      </c>
      <c r="E352" t="s">
        <v>1388</v>
      </c>
      <c r="F352" t="s">
        <v>348</v>
      </c>
      <c r="G352" t="s">
        <v>250</v>
      </c>
      <c r="H352" t="b">
        <v>0</v>
      </c>
      <c r="I352" t="s">
        <v>1798</v>
      </c>
      <c r="J352" t="s">
        <v>1389</v>
      </c>
      <c r="K352" t="s">
        <v>1390</v>
      </c>
      <c r="L352">
        <v>6700</v>
      </c>
      <c r="M352">
        <v>1969</v>
      </c>
      <c r="N352">
        <v>1</v>
      </c>
      <c r="O352">
        <v>1</v>
      </c>
      <c r="P352">
        <v>99.55</v>
      </c>
      <c r="Q352" s="5">
        <v>703082435360</v>
      </c>
      <c r="R352">
        <v>83.6</v>
      </c>
      <c r="S352">
        <v>10.1</v>
      </c>
      <c r="T352">
        <v>28.8</v>
      </c>
      <c r="U352">
        <v>8574832</v>
      </c>
      <c r="V352">
        <f t="shared" ca="1" si="15"/>
        <v>56.986310581680193</v>
      </c>
      <c r="W352" s="3">
        <f t="shared" ca="1" si="16"/>
        <v>46018</v>
      </c>
      <c r="X352" s="3">
        <f t="shared" si="17"/>
        <v>25204</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5">
        <v>2715518274227</v>
      </c>
      <c r="R353">
        <v>82.5</v>
      </c>
      <c r="S353">
        <v>24.2</v>
      </c>
      <c r="T353">
        <v>60.7</v>
      </c>
      <c r="U353">
        <v>67059887</v>
      </c>
      <c r="V353">
        <f t="shared" ca="1" si="15"/>
        <v>58.34018561484919</v>
      </c>
      <c r="W353" s="3">
        <f t="shared" ca="1" si="16"/>
        <v>46018</v>
      </c>
      <c r="X353" s="3">
        <f t="shared" si="17"/>
        <v>24709</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5">
        <v>21427700000000</v>
      </c>
      <c r="R354">
        <v>78.5</v>
      </c>
      <c r="S354">
        <v>9.6</v>
      </c>
      <c r="T354">
        <v>36.6</v>
      </c>
      <c r="U354">
        <v>328239523</v>
      </c>
      <c r="V354">
        <f t="shared" ca="1" si="15"/>
        <v>74.75359567788567</v>
      </c>
      <c r="W354" s="3">
        <f t="shared" ca="1" si="16"/>
        <v>46018</v>
      </c>
      <c r="X354" s="3">
        <f t="shared" si="17"/>
        <v>18714</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5">
        <v>21427700000000</v>
      </c>
      <c r="R355">
        <v>78.5</v>
      </c>
      <c r="S355">
        <v>9.6</v>
      </c>
      <c r="T355">
        <v>36.6</v>
      </c>
      <c r="U355">
        <v>328239523</v>
      </c>
      <c r="V355">
        <f t="shared" ca="1" si="15"/>
        <v>87.006160164271051</v>
      </c>
      <c r="W355" s="3">
        <f t="shared" ca="1" si="16"/>
        <v>46018</v>
      </c>
      <c r="X355" s="3">
        <f t="shared" si="17"/>
        <v>14239</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5">
        <v>21427700000000</v>
      </c>
      <c r="R356">
        <v>78.5</v>
      </c>
      <c r="S356">
        <v>9.6</v>
      </c>
      <c r="T356">
        <v>36.6</v>
      </c>
      <c r="U356">
        <v>328239523</v>
      </c>
      <c r="V356">
        <f t="shared" ca="1" si="15"/>
        <v>86.597539100607364</v>
      </c>
      <c r="W356" s="3">
        <f t="shared" ca="1" si="16"/>
        <v>46018</v>
      </c>
      <c r="X356" s="3">
        <f t="shared" si="17"/>
        <v>14388</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5">
        <v>21427700000000</v>
      </c>
      <c r="R357">
        <v>78.5</v>
      </c>
      <c r="S357">
        <v>9.6</v>
      </c>
      <c r="T357">
        <v>36.6</v>
      </c>
      <c r="U357">
        <v>328239523</v>
      </c>
      <c r="V357">
        <f t="shared" ca="1" si="15"/>
        <v>95.375770020533878</v>
      </c>
      <c r="W357" s="3">
        <f t="shared" ca="1" si="16"/>
        <v>46018</v>
      </c>
      <c r="X357" s="3">
        <f t="shared" si="17"/>
        <v>11182</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5">
        <v>21427700000000</v>
      </c>
      <c r="R358">
        <v>78.5</v>
      </c>
      <c r="S358">
        <v>9.6</v>
      </c>
      <c r="T358">
        <v>36.6</v>
      </c>
      <c r="U358">
        <v>328239523</v>
      </c>
      <c r="V358">
        <f t="shared" ca="1" si="15"/>
        <v>74.208768343432865</v>
      </c>
      <c r="W358" s="3">
        <f t="shared" ca="1" si="16"/>
        <v>46018</v>
      </c>
      <c r="X358" s="3">
        <f t="shared" si="17"/>
        <v>18913</v>
      </c>
    </row>
    <row r="359" spans="1:24" x14ac:dyDescent="0.3">
      <c r="A359">
        <v>365</v>
      </c>
      <c r="B359" t="s">
        <v>250</v>
      </c>
      <c r="C359" t="s">
        <v>1410</v>
      </c>
      <c r="D359" t="s">
        <v>1195</v>
      </c>
      <c r="E359" t="s">
        <v>1370</v>
      </c>
      <c r="F359" t="s">
        <v>1371</v>
      </c>
      <c r="G359" t="s">
        <v>250</v>
      </c>
      <c r="H359" t="b">
        <v>0</v>
      </c>
      <c r="I359" t="s">
        <v>1798</v>
      </c>
      <c r="J359" t="s">
        <v>1411</v>
      </c>
      <c r="K359" t="s">
        <v>1412</v>
      </c>
      <c r="L359">
        <v>6700</v>
      </c>
      <c r="M359">
        <v>1983</v>
      </c>
      <c r="N359">
        <v>5</v>
      </c>
      <c r="O359">
        <v>18</v>
      </c>
      <c r="P359">
        <v>110.35</v>
      </c>
      <c r="Q359" s="5">
        <v>348078018464</v>
      </c>
      <c r="R359">
        <v>81</v>
      </c>
      <c r="S359">
        <v>32.4</v>
      </c>
      <c r="T359">
        <v>23.8</v>
      </c>
      <c r="U359">
        <v>5818553</v>
      </c>
      <c r="V359">
        <f t="shared" ca="1" si="15"/>
        <v>42.611231376543998</v>
      </c>
      <c r="W359" s="3">
        <f t="shared" ca="1" si="16"/>
        <v>46018</v>
      </c>
      <c r="X359" s="3">
        <f t="shared" si="17"/>
        <v>30454</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5">
        <v>21427700000000</v>
      </c>
      <c r="R360">
        <v>78.5</v>
      </c>
      <c r="S360">
        <v>9.6</v>
      </c>
      <c r="T360">
        <v>36.6</v>
      </c>
      <c r="U360">
        <v>328239523</v>
      </c>
      <c r="V360">
        <f t="shared" ca="1" si="15"/>
        <v>84.375764993880054</v>
      </c>
      <c r="W360" s="3">
        <f t="shared" ca="1" si="16"/>
        <v>46018</v>
      </c>
      <c r="X360" s="3">
        <f t="shared" si="17"/>
        <v>15200</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5">
        <v>19910000000000</v>
      </c>
      <c r="R361">
        <v>77</v>
      </c>
      <c r="S361">
        <v>9.4</v>
      </c>
      <c r="T361">
        <v>59.2</v>
      </c>
      <c r="U361">
        <v>1397715000</v>
      </c>
      <c r="V361">
        <f t="shared" ca="1" si="15"/>
        <v>67.986310746064333</v>
      </c>
      <c r="W361" s="3">
        <f t="shared" ca="1" si="16"/>
        <v>46018</v>
      </c>
      <c r="X361" s="3">
        <f t="shared" si="17"/>
        <v>21186</v>
      </c>
    </row>
    <row r="362" spans="1:24" x14ac:dyDescent="0.3">
      <c r="A362">
        <v>383</v>
      </c>
      <c r="B362" t="s">
        <v>250</v>
      </c>
      <c r="C362" t="s">
        <v>1419</v>
      </c>
      <c r="D362" t="s">
        <v>170</v>
      </c>
      <c r="E362" t="s">
        <v>1420</v>
      </c>
      <c r="F362" t="s">
        <v>348</v>
      </c>
      <c r="G362" t="s">
        <v>250</v>
      </c>
      <c r="H362" t="b">
        <v>0</v>
      </c>
      <c r="I362" t="s">
        <v>1798</v>
      </c>
      <c r="J362" t="s">
        <v>1421</v>
      </c>
      <c r="K362" t="s">
        <v>1422</v>
      </c>
      <c r="L362">
        <v>6600</v>
      </c>
      <c r="M362">
        <v>1976</v>
      </c>
      <c r="N362">
        <v>1</v>
      </c>
      <c r="O362">
        <v>1</v>
      </c>
      <c r="P362">
        <v>99.55</v>
      </c>
      <c r="Q362" s="5">
        <v>703082435360</v>
      </c>
      <c r="R362">
        <v>83.6</v>
      </c>
      <c r="S362">
        <v>10.1</v>
      </c>
      <c r="T362">
        <v>28.8</v>
      </c>
      <c r="U362">
        <v>8574832</v>
      </c>
      <c r="V362">
        <f t="shared" ca="1" si="15"/>
        <v>49.986311120845428</v>
      </c>
      <c r="W362" s="3">
        <f t="shared" ca="1" si="16"/>
        <v>46018</v>
      </c>
      <c r="X362" s="3">
        <f t="shared" si="17"/>
        <v>27760</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5">
        <v>21427700000000</v>
      </c>
      <c r="R363">
        <v>78.5</v>
      </c>
      <c r="S363">
        <v>9.6</v>
      </c>
      <c r="T363">
        <v>36.6</v>
      </c>
      <c r="U363">
        <v>328239523</v>
      </c>
      <c r="V363">
        <f t="shared" ca="1" si="15"/>
        <v>71.682409308692669</v>
      </c>
      <c r="W363" s="3">
        <f t="shared" ca="1" si="16"/>
        <v>46018</v>
      </c>
      <c r="X363" s="3">
        <f t="shared" si="17"/>
        <v>19836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5">
        <v>21427700000000</v>
      </c>
      <c r="R364">
        <v>78.5</v>
      </c>
      <c r="S364">
        <v>9.6</v>
      </c>
      <c r="T364">
        <v>36.6</v>
      </c>
      <c r="U364">
        <v>328239523</v>
      </c>
      <c r="V364">
        <f t="shared" ca="1" si="15"/>
        <v>72.824775906687165</v>
      </c>
      <c r="W364" s="3">
        <f t="shared" ca="1" si="16"/>
        <v>46018</v>
      </c>
      <c r="X364" s="3">
        <f t="shared" si="17"/>
        <v>19419</v>
      </c>
    </row>
    <row r="365" spans="1:24" x14ac:dyDescent="0.3">
      <c r="A365">
        <v>383</v>
      </c>
      <c r="B365" t="s">
        <v>103</v>
      </c>
      <c r="C365" t="s">
        <v>1429</v>
      </c>
      <c r="D365" t="s">
        <v>32</v>
      </c>
      <c r="E365" t="s">
        <v>1430</v>
      </c>
      <c r="F365" t="s">
        <v>1424</v>
      </c>
      <c r="G365" t="s">
        <v>103</v>
      </c>
      <c r="H365" t="b">
        <v>0</v>
      </c>
      <c r="I365" t="s">
        <v>1798</v>
      </c>
      <c r="J365" t="s">
        <v>1431</v>
      </c>
      <c r="K365" t="s">
        <v>1432</v>
      </c>
      <c r="L365">
        <v>6600</v>
      </c>
      <c r="M365">
        <v>1955</v>
      </c>
      <c r="N365">
        <v>12</v>
      </c>
      <c r="O365">
        <v>17</v>
      </c>
      <c r="P365">
        <v>117.24</v>
      </c>
      <c r="Q365" s="5">
        <v>21427700000000</v>
      </c>
      <c r="R365">
        <v>78.5</v>
      </c>
      <c r="S365">
        <v>9.6</v>
      </c>
      <c r="T365">
        <v>36.6</v>
      </c>
      <c r="U365">
        <v>328239523</v>
      </c>
      <c r="V365">
        <f t="shared" ca="1" si="15"/>
        <v>70.028072340261446</v>
      </c>
      <c r="W365" s="3">
        <f t="shared" ca="1" si="16"/>
        <v>46018</v>
      </c>
      <c r="X365" s="3">
        <f t="shared" si="17"/>
        <v>20440</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5">
        <v>21427700000000</v>
      </c>
      <c r="R366">
        <v>78.5</v>
      </c>
      <c r="S366">
        <v>9.6</v>
      </c>
      <c r="T366">
        <v>36.6</v>
      </c>
      <c r="U366">
        <v>328239523</v>
      </c>
      <c r="V366">
        <f t="shared" ca="1" si="15"/>
        <v>80.835727564644245</v>
      </c>
      <c r="W366" s="3">
        <f t="shared" ca="1" si="16"/>
        <v>46018</v>
      </c>
      <c r="X366" s="3">
        <f t="shared" si="17"/>
        <v>16493</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5">
        <v>21427700000000</v>
      </c>
      <c r="R367">
        <v>78.5</v>
      </c>
      <c r="S367">
        <v>9.6</v>
      </c>
      <c r="T367">
        <v>36.6</v>
      </c>
      <c r="U367">
        <v>328239523</v>
      </c>
      <c r="V367">
        <f t="shared" ca="1" si="15"/>
        <v>66.219720496894411</v>
      </c>
      <c r="W367" s="3">
        <f t="shared" ca="1" si="16"/>
        <v>46018</v>
      </c>
      <c r="X367" s="3">
        <f t="shared" si="17"/>
        <v>21831</v>
      </c>
    </row>
    <row r="368" spans="1:24" x14ac:dyDescent="0.3">
      <c r="A368">
        <v>383</v>
      </c>
      <c r="B368" t="s">
        <v>49</v>
      </c>
      <c r="C368" t="s">
        <v>1439</v>
      </c>
      <c r="D368" t="s">
        <v>158</v>
      </c>
      <c r="E368" t="s">
        <v>1440</v>
      </c>
      <c r="F368" t="s">
        <v>264</v>
      </c>
      <c r="G368" t="s">
        <v>49</v>
      </c>
      <c r="H368" t="b">
        <v>0</v>
      </c>
      <c r="I368" t="s">
        <v>1798</v>
      </c>
      <c r="J368" t="s">
        <v>1441</v>
      </c>
      <c r="K368" t="s">
        <v>1442</v>
      </c>
      <c r="L368">
        <v>6600</v>
      </c>
      <c r="M368">
        <v>1976</v>
      </c>
      <c r="N368">
        <v>1</v>
      </c>
      <c r="O368">
        <v>7</v>
      </c>
      <c r="P368">
        <v>112.85</v>
      </c>
      <c r="Q368" s="5">
        <v>3845630030824</v>
      </c>
      <c r="R368">
        <v>80.900000000000006</v>
      </c>
      <c r="S368">
        <v>11.5</v>
      </c>
      <c r="T368">
        <v>48.8</v>
      </c>
      <c r="U368">
        <v>83132799</v>
      </c>
      <c r="V368">
        <f t="shared" ca="1" si="15"/>
        <v>49.969884465859934</v>
      </c>
      <c r="W368" s="3">
        <f t="shared" ca="1" si="16"/>
        <v>46018</v>
      </c>
      <c r="X368" s="3">
        <f t="shared" si="17"/>
        <v>27766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5">
        <v>21427700000000</v>
      </c>
      <c r="R369">
        <v>78.5</v>
      </c>
      <c r="S369">
        <v>9.6</v>
      </c>
      <c r="T369">
        <v>36.6</v>
      </c>
      <c r="U369">
        <v>328239523</v>
      </c>
      <c r="V369">
        <f t="shared" ca="1" si="15"/>
        <v>83.082819986310753</v>
      </c>
      <c r="W369" s="3">
        <f t="shared" ca="1" si="16"/>
        <v>46018</v>
      </c>
      <c r="X369" s="3">
        <f t="shared" si="17"/>
        <v>15672</v>
      </c>
    </row>
    <row r="370" spans="1:24" x14ac:dyDescent="0.3">
      <c r="A370">
        <v>390</v>
      </c>
      <c r="B370" t="s">
        <v>38</v>
      </c>
      <c r="C370" t="s">
        <v>1445</v>
      </c>
      <c r="D370" t="s">
        <v>32</v>
      </c>
      <c r="E370" t="s">
        <v>40</v>
      </c>
      <c r="F370" t="s">
        <v>56</v>
      </c>
      <c r="G370" t="s">
        <v>38</v>
      </c>
      <c r="H370" t="b">
        <v>0</v>
      </c>
      <c r="I370" t="s">
        <v>1798</v>
      </c>
      <c r="J370" t="s">
        <v>1446</v>
      </c>
      <c r="K370" t="s">
        <v>1447</v>
      </c>
      <c r="L370">
        <v>6500</v>
      </c>
      <c r="M370">
        <v>1964</v>
      </c>
      <c r="N370">
        <v>8</v>
      </c>
      <c r="O370">
        <v>15</v>
      </c>
      <c r="P370">
        <v>117.24</v>
      </c>
      <c r="Q370" s="5">
        <v>21427700000000</v>
      </c>
      <c r="R370">
        <v>78.5</v>
      </c>
      <c r="S370">
        <v>9.6</v>
      </c>
      <c r="T370">
        <v>36.6</v>
      </c>
      <c r="U370">
        <v>328239523</v>
      </c>
      <c r="V370">
        <f t="shared" ca="1" si="15"/>
        <v>61.3648326415261</v>
      </c>
      <c r="W370" s="3">
        <f t="shared" ca="1" si="16"/>
        <v>46018</v>
      </c>
      <c r="X370" s="3">
        <f t="shared" si="17"/>
        <v>23604</v>
      </c>
    </row>
    <row r="371" spans="1:24" x14ac:dyDescent="0.3">
      <c r="A371">
        <v>390</v>
      </c>
      <c r="B371" t="s">
        <v>462</v>
      </c>
      <c r="C371" t="s">
        <v>1448</v>
      </c>
      <c r="D371" t="s">
        <v>32</v>
      </c>
      <c r="E371" t="s">
        <v>1449</v>
      </c>
      <c r="F371" t="s">
        <v>465</v>
      </c>
      <c r="G371" t="s">
        <v>462</v>
      </c>
      <c r="H371" t="b">
        <v>0</v>
      </c>
      <c r="I371" t="s">
        <v>1798</v>
      </c>
      <c r="J371" t="s">
        <v>1450</v>
      </c>
      <c r="K371" t="s">
        <v>1451</v>
      </c>
      <c r="L371">
        <v>6500</v>
      </c>
      <c r="M371">
        <v>1930</v>
      </c>
      <c r="N371">
        <v>2</v>
      </c>
      <c r="O371">
        <v>27</v>
      </c>
      <c r="P371">
        <v>117.24</v>
      </c>
      <c r="Q371" s="5">
        <v>21427700000000</v>
      </c>
      <c r="R371">
        <v>78.5</v>
      </c>
      <c r="S371">
        <v>9.6</v>
      </c>
      <c r="T371">
        <v>36.6</v>
      </c>
      <c r="U371">
        <v>328239523</v>
      </c>
      <c r="V371">
        <f t="shared" ca="1" si="15"/>
        <v>95.830253251197803</v>
      </c>
      <c r="W371" s="3">
        <f t="shared" ca="1" si="16"/>
        <v>46018</v>
      </c>
      <c r="X371" s="3">
        <f t="shared" si="17"/>
        <v>11016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5">
        <v>2827113184696</v>
      </c>
      <c r="R372">
        <v>81.3</v>
      </c>
      <c r="S372">
        <v>25.5</v>
      </c>
      <c r="T372">
        <v>30.6</v>
      </c>
      <c r="U372">
        <v>66834405</v>
      </c>
      <c r="V372">
        <f t="shared" ca="1" si="15"/>
        <v>87.32101300479124</v>
      </c>
      <c r="W372" s="3">
        <f t="shared" ca="1" si="16"/>
        <v>46018</v>
      </c>
      <c r="X372" s="3">
        <f t="shared" si="17"/>
        <v>14124</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5">
        <v>703082435360</v>
      </c>
      <c r="R373">
        <v>83.6</v>
      </c>
      <c r="S373">
        <v>10.1</v>
      </c>
      <c r="T373">
        <v>28.8</v>
      </c>
      <c r="U373">
        <v>8574832</v>
      </c>
      <c r="V373">
        <f t="shared" ca="1" si="15"/>
        <v>54.682413260988604</v>
      </c>
      <c r="W373" s="3">
        <f t="shared" ca="1" si="16"/>
        <v>46018</v>
      </c>
      <c r="X373" s="3">
        <f t="shared" si="17"/>
        <v>26045</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5">
        <v>530832908738</v>
      </c>
      <c r="R374">
        <v>82.5</v>
      </c>
      <c r="S374">
        <v>27.9</v>
      </c>
      <c r="T374">
        <v>49.1</v>
      </c>
      <c r="U374">
        <v>10285453</v>
      </c>
      <c r="V374">
        <f t="shared" ca="1" si="15"/>
        <v>74.356610936701472</v>
      </c>
      <c r="W374" s="3">
        <f t="shared" ca="1" si="16"/>
        <v>46018</v>
      </c>
      <c r="X374" s="3">
        <f t="shared" si="17"/>
        <v>18859</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5">
        <v>21427700000000</v>
      </c>
      <c r="R375">
        <v>78.5</v>
      </c>
      <c r="S375">
        <v>9.6</v>
      </c>
      <c r="T375">
        <v>36.6</v>
      </c>
      <c r="U375">
        <v>328239523</v>
      </c>
      <c r="V375">
        <f t="shared" ca="1" si="15"/>
        <v>65.712531629817065</v>
      </c>
      <c r="W375" s="3">
        <f t="shared" ca="1" si="16"/>
        <v>46018</v>
      </c>
      <c r="X375" s="3">
        <f t="shared" si="17"/>
        <v>22016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5">
        <v>21427700000000</v>
      </c>
      <c r="R376">
        <v>78.5</v>
      </c>
      <c r="S376">
        <v>9.6</v>
      </c>
      <c r="T376">
        <v>36.6</v>
      </c>
      <c r="U376">
        <v>328239523</v>
      </c>
      <c r="V376">
        <f t="shared" ca="1" si="15"/>
        <v>72.537298878595806</v>
      </c>
      <c r="W376" s="3">
        <f t="shared" ca="1" si="16"/>
        <v>46018</v>
      </c>
      <c r="X376" s="3">
        <f t="shared" si="17"/>
        <v>19524</v>
      </c>
    </row>
    <row r="377" spans="1:24" x14ac:dyDescent="0.3">
      <c r="A377">
        <v>397</v>
      </c>
      <c r="B377" t="s">
        <v>351</v>
      </c>
      <c r="C377" t="s">
        <v>1467</v>
      </c>
      <c r="D377" t="s">
        <v>105</v>
      </c>
      <c r="E377" t="s">
        <v>153</v>
      </c>
      <c r="F377" t="s">
        <v>1468</v>
      </c>
      <c r="G377" t="s">
        <v>351</v>
      </c>
      <c r="H377" t="b">
        <v>1</v>
      </c>
      <c r="I377" t="s">
        <v>1798</v>
      </c>
      <c r="J377" t="s">
        <v>1469</v>
      </c>
      <c r="K377" t="s">
        <v>808</v>
      </c>
      <c r="L377">
        <v>6400</v>
      </c>
      <c r="M377">
        <v>1963</v>
      </c>
      <c r="N377">
        <v>11</v>
      </c>
      <c r="O377">
        <v>1</v>
      </c>
      <c r="P377">
        <v>125.08</v>
      </c>
      <c r="Q377" s="5">
        <v>19910000000000</v>
      </c>
      <c r="R377">
        <v>77</v>
      </c>
      <c r="S377">
        <v>9.4</v>
      </c>
      <c r="T377">
        <v>59.2</v>
      </c>
      <c r="U377">
        <v>1397715000</v>
      </c>
      <c r="V377">
        <f t="shared" ca="1" si="15"/>
        <v>62.154013297987916</v>
      </c>
      <c r="W377" s="3">
        <f t="shared" ca="1" si="16"/>
        <v>46018</v>
      </c>
      <c r="X377" s="3">
        <f t="shared" si="17"/>
        <v>23316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5">
        <v>2715518274227</v>
      </c>
      <c r="R378">
        <v>82.5</v>
      </c>
      <c r="S378">
        <v>24.2</v>
      </c>
      <c r="T378">
        <v>60.7</v>
      </c>
      <c r="U378">
        <v>67059887</v>
      </c>
      <c r="V378">
        <f t="shared" ca="1" si="15"/>
        <v>63.200547570157426</v>
      </c>
      <c r="W378" s="3">
        <f t="shared" ca="1" si="16"/>
        <v>46018</v>
      </c>
      <c r="X378" s="3">
        <f t="shared" si="17"/>
        <v>22934</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5">
        <v>323802808108</v>
      </c>
      <c r="R379">
        <v>77.099999999999994</v>
      </c>
      <c r="S379">
        <v>14.4</v>
      </c>
      <c r="T379">
        <v>71.2</v>
      </c>
      <c r="U379">
        <v>50339443</v>
      </c>
      <c r="V379">
        <f t="shared" ca="1" si="15"/>
        <v>92.915126000942067</v>
      </c>
      <c r="W379" s="3">
        <f t="shared" ca="1" si="16"/>
        <v>46018</v>
      </c>
      <c r="X379" s="3">
        <f t="shared" si="17"/>
        <v>12081</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5">
        <v>21427700000000</v>
      </c>
      <c r="R380">
        <v>78.5</v>
      </c>
      <c r="S380">
        <v>9.6</v>
      </c>
      <c r="T380">
        <v>36.6</v>
      </c>
      <c r="U380">
        <v>328239523</v>
      </c>
      <c r="V380">
        <f t="shared" ca="1" si="15"/>
        <v>91.419575633127991</v>
      </c>
      <c r="W380" s="3">
        <f t="shared" ca="1" si="16"/>
        <v>46018</v>
      </c>
      <c r="X380" s="3">
        <f t="shared" si="17"/>
        <v>12627</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5">
        <v>2827113184696</v>
      </c>
      <c r="R381">
        <v>81.3</v>
      </c>
      <c r="S381">
        <v>25.5</v>
      </c>
      <c r="T381">
        <v>30.6</v>
      </c>
      <c r="U381">
        <v>66834405</v>
      </c>
      <c r="V381">
        <f t="shared" ca="1" si="15"/>
        <v>80.178637823221223</v>
      </c>
      <c r="W381" s="3">
        <f t="shared" ca="1" si="16"/>
        <v>46018</v>
      </c>
      <c r="X381" s="3">
        <f t="shared" si="17"/>
        <v>16733</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5">
        <v>19910000000000</v>
      </c>
      <c r="R382">
        <v>77</v>
      </c>
      <c r="S382">
        <v>9.4</v>
      </c>
      <c r="T382">
        <v>59.2</v>
      </c>
      <c r="U382">
        <v>1397715000</v>
      </c>
      <c r="V382">
        <f t="shared" ca="1" si="15"/>
        <v>60.98631059245961</v>
      </c>
      <c r="W382" s="3">
        <f t="shared" ca="1" si="16"/>
        <v>46018</v>
      </c>
      <c r="X382" s="3">
        <f t="shared" si="17"/>
        <v>23743</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5">
        <v>2827113184696</v>
      </c>
      <c r="R383">
        <v>81.3</v>
      </c>
      <c r="S383">
        <v>25.5</v>
      </c>
      <c r="T383">
        <v>30.6</v>
      </c>
      <c r="U383">
        <v>66834405</v>
      </c>
      <c r="V383">
        <f t="shared" ca="1" si="15"/>
        <v>69.570165832290357</v>
      </c>
      <c r="W383" s="3">
        <f t="shared" ca="1" si="16"/>
        <v>46018</v>
      </c>
      <c r="X383" s="3">
        <f t="shared" si="17"/>
        <v>20607</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5">
        <v>2715518274227</v>
      </c>
      <c r="R384">
        <v>82.5</v>
      </c>
      <c r="S384">
        <v>24.2</v>
      </c>
      <c r="T384">
        <v>60.7</v>
      </c>
      <c r="U384">
        <v>67059887</v>
      </c>
      <c r="V384">
        <f t="shared" ca="1" si="15"/>
        <v>87.986310746064333</v>
      </c>
      <c r="W384" s="3">
        <f t="shared" ca="1" si="16"/>
        <v>46018</v>
      </c>
      <c r="X384" s="3">
        <f t="shared" si="17"/>
        <v>13881</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5">
        <v>19910000000000</v>
      </c>
      <c r="R385">
        <v>77</v>
      </c>
      <c r="S385">
        <v>9.4</v>
      </c>
      <c r="T385">
        <v>59.2</v>
      </c>
      <c r="U385">
        <v>1397715000</v>
      </c>
      <c r="V385">
        <f t="shared" ca="1" si="15"/>
        <v>61.79466572463128</v>
      </c>
      <c r="W385" s="3">
        <f t="shared" ca="1" si="16"/>
        <v>46018</v>
      </c>
      <c r="X385" s="3">
        <f t="shared" si="17"/>
        <v>23447</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5">
        <v>395098666122</v>
      </c>
      <c r="R386">
        <v>82.8</v>
      </c>
      <c r="S386">
        <v>23.1</v>
      </c>
      <c r="T386">
        <v>25.3</v>
      </c>
      <c r="U386">
        <v>9053300</v>
      </c>
      <c r="V386">
        <f t="shared" ref="V386:V449" ca="1" si="18">YEARFRAC(X386,W386,1)</f>
        <v>99.449691991786452</v>
      </c>
      <c r="W386" s="3">
        <f t="shared" ca="1" si="16"/>
        <v>46018</v>
      </c>
      <c r="X386" s="3">
        <f t="shared" si="17"/>
        <v>9694</v>
      </c>
    </row>
    <row r="387" spans="1:24" x14ac:dyDescent="0.3">
      <c r="A387">
        <v>411</v>
      </c>
      <c r="B387" t="s">
        <v>103</v>
      </c>
      <c r="C387" t="s">
        <v>1503</v>
      </c>
      <c r="D387" t="s">
        <v>67</v>
      </c>
      <c r="E387" t="s">
        <v>68</v>
      </c>
      <c r="F387" t="s">
        <v>1504</v>
      </c>
      <c r="G387" t="s">
        <v>103</v>
      </c>
      <c r="H387" t="b">
        <v>0</v>
      </c>
      <c r="I387" t="s">
        <v>1798</v>
      </c>
      <c r="J387" t="s">
        <v>1505</v>
      </c>
      <c r="K387" t="s">
        <v>1506</v>
      </c>
      <c r="L387">
        <v>6200</v>
      </c>
      <c r="M387">
        <v>1963</v>
      </c>
      <c r="N387">
        <v>5</v>
      </c>
      <c r="O387">
        <v>2</v>
      </c>
      <c r="P387">
        <v>141.54</v>
      </c>
      <c r="Q387" s="5">
        <v>1258286717125</v>
      </c>
      <c r="R387">
        <v>75</v>
      </c>
      <c r="S387">
        <v>13.1</v>
      </c>
      <c r="T387">
        <v>55.1</v>
      </c>
      <c r="U387">
        <v>126014024</v>
      </c>
      <c r="V387">
        <f t="shared" ca="1" si="18"/>
        <v>62.655034548694104</v>
      </c>
      <c r="W387" s="3">
        <f t="shared" ref="W387:W450" ca="1" si="19">TODAY()</f>
        <v>46018</v>
      </c>
      <c r="X387" s="3">
        <f t="shared" ref="X387:X450" si="20">DATE(M387,N387,O387)</f>
        <v>23133</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5">
        <v>530832908738</v>
      </c>
      <c r="R388">
        <v>82.5</v>
      </c>
      <c r="S388">
        <v>27.9</v>
      </c>
      <c r="T388">
        <v>49.1</v>
      </c>
      <c r="U388">
        <v>10285453</v>
      </c>
      <c r="V388">
        <f t="shared" ca="1" si="18"/>
        <v>87.819301848049278</v>
      </c>
      <c r="W388" s="3">
        <f t="shared" ca="1" si="19"/>
        <v>46018</v>
      </c>
      <c r="X388" s="3">
        <f t="shared" si="20"/>
        <v>13942</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5">
        <v>909070395161</v>
      </c>
      <c r="R389">
        <v>81.8</v>
      </c>
      <c r="S389">
        <v>23</v>
      </c>
      <c r="T389">
        <v>41.2</v>
      </c>
      <c r="U389">
        <v>17332850</v>
      </c>
      <c r="V389">
        <f t="shared" ca="1" si="18"/>
        <v>92.403144135657087</v>
      </c>
      <c r="W389" s="3">
        <f t="shared" ca="1" si="19"/>
        <v>46018</v>
      </c>
      <c r="X389" s="3">
        <f t="shared" si="20"/>
        <v>12268</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5">
        <v>19910000000000</v>
      </c>
      <c r="R390">
        <v>77</v>
      </c>
      <c r="S390">
        <v>9.4</v>
      </c>
      <c r="T390">
        <v>59.2</v>
      </c>
      <c r="U390">
        <v>1397715000</v>
      </c>
      <c r="V390">
        <f t="shared" ca="1" si="18"/>
        <v>61.986311048308757</v>
      </c>
      <c r="W390" s="3">
        <f t="shared" ca="1" si="19"/>
        <v>46018</v>
      </c>
      <c r="X390" s="3">
        <f t="shared" si="20"/>
        <v>23377</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5">
        <v>19910000000000</v>
      </c>
      <c r="R391">
        <v>77</v>
      </c>
      <c r="S391">
        <v>9.4</v>
      </c>
      <c r="T391">
        <v>59.2</v>
      </c>
      <c r="U391">
        <v>1397715000</v>
      </c>
      <c r="V391">
        <f t="shared" ca="1" si="18"/>
        <v>61.986311048308757</v>
      </c>
      <c r="W391" s="3">
        <f t="shared" ca="1" si="19"/>
        <v>46018</v>
      </c>
      <c r="X391" s="3">
        <f t="shared" si="20"/>
        <v>23377</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5">
        <v>19910000000000</v>
      </c>
      <c r="R392">
        <v>77</v>
      </c>
      <c r="S392">
        <v>9.4</v>
      </c>
      <c r="T392">
        <v>59.2</v>
      </c>
      <c r="U392">
        <v>1397715000</v>
      </c>
      <c r="V392">
        <f t="shared" ca="1" si="18"/>
        <v>53.986311093084574</v>
      </c>
      <c r="W392" s="3">
        <f t="shared" ca="1" si="19"/>
        <v>46018</v>
      </c>
      <c r="X392" s="3">
        <f t="shared" si="20"/>
        <v>26299</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5">
        <v>592164400688</v>
      </c>
      <c r="R393">
        <v>77.599999999999994</v>
      </c>
      <c r="S393">
        <v>17.399999999999999</v>
      </c>
      <c r="T393">
        <v>40.799999999999997</v>
      </c>
      <c r="U393">
        <v>37970874</v>
      </c>
      <c r="V393">
        <f t="shared" ca="1" si="18"/>
        <v>63.463381245722111</v>
      </c>
      <c r="W393" s="3">
        <f t="shared" ca="1" si="19"/>
        <v>46018</v>
      </c>
      <c r="X393" s="3">
        <f t="shared" si="20"/>
        <v>22838</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5">
        <v>448120428859</v>
      </c>
      <c r="R394">
        <v>54.3</v>
      </c>
      <c r="S394">
        <v>1.5</v>
      </c>
      <c r="T394">
        <v>34.799999999999997</v>
      </c>
      <c r="U394">
        <v>200963599</v>
      </c>
      <c r="V394">
        <f t="shared" ca="1" si="18"/>
        <v>72.663241195664412</v>
      </c>
      <c r="W394" s="3">
        <f t="shared" ca="1" si="19"/>
        <v>46018</v>
      </c>
      <c r="X394" s="3">
        <f t="shared" si="20"/>
        <v>19478</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5">
        <v>21427700000000</v>
      </c>
      <c r="R395">
        <v>78.5</v>
      </c>
      <c r="S395">
        <v>9.6</v>
      </c>
      <c r="T395">
        <v>36.6</v>
      </c>
      <c r="U395">
        <v>328239523</v>
      </c>
      <c r="V395">
        <f t="shared" ca="1" si="18"/>
        <v>61.405899496599844</v>
      </c>
      <c r="W395" s="3">
        <f t="shared" ca="1" si="19"/>
        <v>46018</v>
      </c>
      <c r="X395" s="3">
        <f t="shared" si="20"/>
        <v>23589</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5">
        <v>3845630030824</v>
      </c>
      <c r="R396">
        <v>80.900000000000006</v>
      </c>
      <c r="S396">
        <v>11.5</v>
      </c>
      <c r="T396">
        <v>48.8</v>
      </c>
      <c r="U396">
        <v>83132799</v>
      </c>
      <c r="V396">
        <f t="shared" ca="1" si="18"/>
        <v>82.247097242380264</v>
      </c>
      <c r="W396" s="3">
        <f t="shared" ca="1" si="19"/>
        <v>46018</v>
      </c>
      <c r="X396" s="3">
        <f t="shared" si="20"/>
        <v>15977</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5">
        <v>3845630030824</v>
      </c>
      <c r="R397">
        <v>80.900000000000006</v>
      </c>
      <c r="S397">
        <v>11.5</v>
      </c>
      <c r="T397">
        <v>48.8</v>
      </c>
      <c r="U397">
        <v>83132799</v>
      </c>
      <c r="V397">
        <f t="shared" ca="1" si="18"/>
        <v>74.986310870993648</v>
      </c>
      <c r="W397" s="3">
        <f t="shared" ca="1" si="19"/>
        <v>46018</v>
      </c>
      <c r="X397" s="3">
        <f t="shared" si="20"/>
        <v>18629</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5">
        <v>1699876578871</v>
      </c>
      <c r="R398">
        <v>72.7</v>
      </c>
      <c r="S398">
        <v>11.4</v>
      </c>
      <c r="T398">
        <v>46.2</v>
      </c>
      <c r="U398">
        <v>144373535</v>
      </c>
      <c r="V398">
        <f t="shared" ca="1" si="18"/>
        <v>66.849419745014714</v>
      </c>
      <c r="W398" s="3">
        <f t="shared" ca="1" si="19"/>
        <v>46018</v>
      </c>
      <c r="X398" s="3">
        <f t="shared" si="20"/>
        <v>21601</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5">
        <v>21427700000000</v>
      </c>
      <c r="R399">
        <v>78.5</v>
      </c>
      <c r="S399">
        <v>9.6</v>
      </c>
      <c r="T399">
        <v>36.6</v>
      </c>
      <c r="U399">
        <v>328239523</v>
      </c>
      <c r="V399">
        <f t="shared" ca="1" si="18"/>
        <v>87.956194387405887</v>
      </c>
      <c r="W399" s="3">
        <f t="shared" ca="1" si="19"/>
        <v>46018</v>
      </c>
      <c r="X399" s="3">
        <f t="shared" si="20"/>
        <v>13892</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5">
        <v>1736425629520</v>
      </c>
      <c r="R400">
        <v>81.900000000000006</v>
      </c>
      <c r="S400">
        <v>12.8</v>
      </c>
      <c r="T400">
        <v>24.5</v>
      </c>
      <c r="U400">
        <v>36991981</v>
      </c>
      <c r="V400">
        <f t="shared" ca="1" si="18"/>
        <v>76.854892618404207</v>
      </c>
      <c r="W400" s="3">
        <f t="shared" ca="1" si="19"/>
        <v>46018</v>
      </c>
      <c r="X400" s="3">
        <f t="shared" si="20"/>
        <v>17947</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5">
        <v>21427700000000</v>
      </c>
      <c r="R401">
        <v>78.5</v>
      </c>
      <c r="S401">
        <v>9.6</v>
      </c>
      <c r="T401">
        <v>36.6</v>
      </c>
      <c r="U401">
        <v>328239523</v>
      </c>
      <c r="V401">
        <f t="shared" ca="1" si="18"/>
        <v>66.337446878064725</v>
      </c>
      <c r="W401" s="3">
        <f t="shared" ca="1" si="19"/>
        <v>46018</v>
      </c>
      <c r="X401" s="3">
        <f t="shared" si="20"/>
        <v>21788</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5">
        <v>2611000000000</v>
      </c>
      <c r="R402">
        <v>69.400000000000006</v>
      </c>
      <c r="S402">
        <v>11.2</v>
      </c>
      <c r="T402">
        <v>49.7</v>
      </c>
      <c r="U402">
        <v>1366417754</v>
      </c>
      <c r="V402">
        <f t="shared" ca="1" si="18"/>
        <v>67.986310746064333</v>
      </c>
      <c r="W402" s="3">
        <f t="shared" ca="1" si="19"/>
        <v>46018</v>
      </c>
      <c r="X402" s="3">
        <f t="shared" si="20"/>
        <v>21186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5">
        <v>543649976166</v>
      </c>
      <c r="R403">
        <v>76.900000000000006</v>
      </c>
      <c r="S403">
        <v>14.9</v>
      </c>
      <c r="T403">
        <v>29.5</v>
      </c>
      <c r="U403">
        <v>69625582</v>
      </c>
      <c r="V403">
        <f t="shared" ca="1" si="18"/>
        <v>91.151266255989043</v>
      </c>
      <c r="W403" s="3">
        <f t="shared" ca="1" si="19"/>
        <v>46018</v>
      </c>
      <c r="X403" s="3">
        <f t="shared" si="20"/>
        <v>12725</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5">
        <v>395098666122</v>
      </c>
      <c r="R404">
        <v>82.8</v>
      </c>
      <c r="S404">
        <v>23.1</v>
      </c>
      <c r="T404">
        <v>25.3</v>
      </c>
      <c r="U404">
        <v>9053300</v>
      </c>
      <c r="V404">
        <f t="shared" ca="1" si="18"/>
        <v>95.181382614647504</v>
      </c>
      <c r="W404" s="3">
        <f t="shared" ca="1" si="19"/>
        <v>46018</v>
      </c>
      <c r="X404" s="3">
        <f t="shared" si="20"/>
        <v>11253</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5">
        <v>21427700000000</v>
      </c>
      <c r="R405">
        <v>78.5</v>
      </c>
      <c r="S405">
        <v>9.6</v>
      </c>
      <c r="T405">
        <v>36.6</v>
      </c>
      <c r="U405">
        <v>328239523</v>
      </c>
      <c r="V405">
        <f t="shared" ca="1" si="18"/>
        <v>79.482546201232026</v>
      </c>
      <c r="W405" s="3">
        <f t="shared" ca="1" si="19"/>
        <v>46018</v>
      </c>
      <c r="X405" s="3">
        <f t="shared" si="20"/>
        <v>16987</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5">
        <v>21427700000000</v>
      </c>
      <c r="R406">
        <v>78.5</v>
      </c>
      <c r="S406">
        <v>9.6</v>
      </c>
      <c r="T406">
        <v>36.6</v>
      </c>
      <c r="U406">
        <v>328239523</v>
      </c>
      <c r="V406">
        <f t="shared" ca="1" si="18"/>
        <v>74.488026575162451</v>
      </c>
      <c r="W406" s="3">
        <f t="shared" ca="1" si="19"/>
        <v>46018</v>
      </c>
      <c r="X406" s="3">
        <f t="shared" si="20"/>
        <v>18811</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5">
        <v>21427700000000</v>
      </c>
      <c r="R407">
        <v>78.5</v>
      </c>
      <c r="S407">
        <v>9.6</v>
      </c>
      <c r="T407">
        <v>36.6</v>
      </c>
      <c r="U407">
        <v>328239523</v>
      </c>
      <c r="V407">
        <f t="shared" ca="1" si="18"/>
        <v>88.301842680038149</v>
      </c>
      <c r="W407" s="3">
        <f t="shared" ca="1" si="19"/>
        <v>46018</v>
      </c>
      <c r="X407" s="3">
        <f t="shared" si="20"/>
        <v>13766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5">
        <v>19910000000000</v>
      </c>
      <c r="R408">
        <v>77</v>
      </c>
      <c r="S408">
        <v>9.4</v>
      </c>
      <c r="T408">
        <v>59.2</v>
      </c>
      <c r="U408">
        <v>1397715000</v>
      </c>
      <c r="V408">
        <f t="shared" ca="1" si="18"/>
        <v>62.986310894789447</v>
      </c>
      <c r="W408" s="3">
        <f t="shared" ca="1" si="19"/>
        <v>46018</v>
      </c>
      <c r="X408" s="3">
        <f t="shared" si="20"/>
        <v>23012</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5">
        <v>543649976166</v>
      </c>
      <c r="R409">
        <v>76.900000000000006</v>
      </c>
      <c r="S409">
        <v>14.9</v>
      </c>
      <c r="T409">
        <v>29.5</v>
      </c>
      <c r="U409">
        <v>69625582</v>
      </c>
      <c r="V409">
        <f t="shared" ca="1" si="18"/>
        <v>95.739904175222449</v>
      </c>
      <c r="W409" s="3">
        <f t="shared" ca="1" si="19"/>
        <v>46018</v>
      </c>
      <c r="X409" s="3">
        <f t="shared" si="20"/>
        <v>11049</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5">
        <v>21427700000000</v>
      </c>
      <c r="R410">
        <v>78.5</v>
      </c>
      <c r="S410">
        <v>9.6</v>
      </c>
      <c r="T410">
        <v>36.6</v>
      </c>
      <c r="U410">
        <v>328239523</v>
      </c>
      <c r="V410">
        <f t="shared" ca="1" si="18"/>
        <v>64.679668084747902</v>
      </c>
      <c r="W410" s="3">
        <f t="shared" ca="1" si="19"/>
        <v>46018</v>
      </c>
      <c r="X410" s="3">
        <f t="shared" si="20"/>
        <v>22394</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5">
        <v>21427700000000</v>
      </c>
      <c r="R411">
        <v>78.5</v>
      </c>
      <c r="S411">
        <v>9.6</v>
      </c>
      <c r="T411">
        <v>36.6</v>
      </c>
      <c r="U411">
        <v>328239523</v>
      </c>
      <c r="V411">
        <f t="shared" ca="1" si="18"/>
        <v>65.206039739494756</v>
      </c>
      <c r="W411" s="3">
        <f t="shared" ca="1" si="19"/>
        <v>46018</v>
      </c>
      <c r="X411" s="3">
        <f t="shared" si="20"/>
        <v>22201</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5">
        <v>19910000000000</v>
      </c>
      <c r="R412">
        <v>77</v>
      </c>
      <c r="S412">
        <v>9.4</v>
      </c>
      <c r="T412">
        <v>59.2</v>
      </c>
      <c r="U412">
        <v>1397715000</v>
      </c>
      <c r="V412">
        <f t="shared" ca="1" si="18"/>
        <v>68.947980319022307</v>
      </c>
      <c r="W412" s="3">
        <f t="shared" ca="1" si="19"/>
        <v>46018</v>
      </c>
      <c r="X412" s="3">
        <f t="shared" si="20"/>
        <v>20835</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5">
        <v>21427700000000</v>
      </c>
      <c r="R413">
        <v>78.5</v>
      </c>
      <c r="S413">
        <v>9.6</v>
      </c>
      <c r="T413">
        <v>36.6</v>
      </c>
      <c r="U413">
        <v>328239523</v>
      </c>
      <c r="V413">
        <f t="shared" ca="1" si="18"/>
        <v>60.992493155524159</v>
      </c>
      <c r="W413" s="3">
        <f t="shared" ca="1" si="19"/>
        <v>46018</v>
      </c>
      <c r="X413" s="3">
        <f t="shared" si="20"/>
        <v>23740</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5">
        <v>348078018464</v>
      </c>
      <c r="R414">
        <v>81</v>
      </c>
      <c r="S414">
        <v>32.4</v>
      </c>
      <c r="T414">
        <v>23.8</v>
      </c>
      <c r="U414">
        <v>5818553</v>
      </c>
      <c r="V414">
        <f t="shared" ca="1" si="18"/>
        <v>78.173176225957377</v>
      </c>
      <c r="W414" s="3">
        <f t="shared" ca="1" si="19"/>
        <v>46018</v>
      </c>
      <c r="X414" s="3">
        <f t="shared" si="20"/>
        <v>17465</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5">
        <v>21427700000000</v>
      </c>
      <c r="R415">
        <v>78.5</v>
      </c>
      <c r="S415">
        <v>9.6</v>
      </c>
      <c r="T415">
        <v>36.6</v>
      </c>
      <c r="U415">
        <v>328239523</v>
      </c>
      <c r="V415">
        <f t="shared" ca="1" si="18"/>
        <v>73.411372969773197</v>
      </c>
      <c r="W415" s="3">
        <f t="shared" ca="1" si="19"/>
        <v>46018</v>
      </c>
      <c r="X415" s="3">
        <f t="shared" si="20"/>
        <v>19204</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5">
        <v>153781069118</v>
      </c>
      <c r="R416">
        <v>71.599999999999994</v>
      </c>
      <c r="S416">
        <v>20.100000000000001</v>
      </c>
      <c r="T416">
        <v>45.2</v>
      </c>
      <c r="U416">
        <v>44385155</v>
      </c>
      <c r="V416">
        <f t="shared" ca="1" si="18"/>
        <v>59.266255989048595</v>
      </c>
      <c r="W416" s="3">
        <f t="shared" ca="1" si="19"/>
        <v>46018</v>
      </c>
      <c r="X416" s="3">
        <f t="shared" si="20"/>
        <v>24371</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5">
        <v>21427700000000</v>
      </c>
      <c r="R417">
        <v>78.5</v>
      </c>
      <c r="S417">
        <v>9.6</v>
      </c>
      <c r="T417">
        <v>36.6</v>
      </c>
      <c r="U417">
        <v>328239523</v>
      </c>
      <c r="V417">
        <f t="shared" ca="1" si="18"/>
        <v>91.282683093771396</v>
      </c>
      <c r="W417" s="3">
        <f t="shared" ca="1" si="19"/>
        <v>46018</v>
      </c>
      <c r="X417" s="3">
        <f t="shared" si="20"/>
        <v>12677</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5">
        <v>1736425629520</v>
      </c>
      <c r="R418">
        <v>81.900000000000006</v>
      </c>
      <c r="S418">
        <v>12.8</v>
      </c>
      <c r="T418">
        <v>24.5</v>
      </c>
      <c r="U418">
        <v>36991981</v>
      </c>
      <c r="V418">
        <f t="shared" ca="1" si="18"/>
        <v>95.986310746064333</v>
      </c>
      <c r="W418" s="3">
        <f t="shared" ca="1" si="19"/>
        <v>46018</v>
      </c>
      <c r="X418" s="3">
        <f t="shared" si="20"/>
        <v>10959</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5">
        <v>530832908738</v>
      </c>
      <c r="R419">
        <v>82.5</v>
      </c>
      <c r="S419">
        <v>27.9</v>
      </c>
      <c r="T419">
        <v>49.1</v>
      </c>
      <c r="U419">
        <v>10285453</v>
      </c>
      <c r="V419">
        <f t="shared" ca="1" si="18"/>
        <v>74.394940497919251</v>
      </c>
      <c r="W419" s="3">
        <f t="shared" ca="1" si="19"/>
        <v>46018</v>
      </c>
      <c r="X419" s="3">
        <f t="shared" si="20"/>
        <v>18845</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5">
        <v>703082435360</v>
      </c>
      <c r="R420">
        <v>83.6</v>
      </c>
      <c r="S420">
        <v>10.1</v>
      </c>
      <c r="T420">
        <v>28.8</v>
      </c>
      <c r="U420">
        <v>8574832</v>
      </c>
      <c r="V420">
        <f t="shared" ca="1" si="18"/>
        <v>80.028054757478444</v>
      </c>
      <c r="W420" s="3">
        <f t="shared" ca="1" si="19"/>
        <v>46018</v>
      </c>
      <c r="X420" s="3">
        <f t="shared" si="20"/>
        <v>16788</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5">
        <v>21427700000000</v>
      </c>
      <c r="R421">
        <v>78.5</v>
      </c>
      <c r="S421">
        <v>9.6</v>
      </c>
      <c r="T421">
        <v>36.6</v>
      </c>
      <c r="U421">
        <v>328239523</v>
      </c>
      <c r="V421">
        <f t="shared" ca="1" si="18"/>
        <v>54.151276818159189</v>
      </c>
      <c r="W421" s="3">
        <f t="shared" ca="1" si="19"/>
        <v>46018</v>
      </c>
      <c r="X421" s="3">
        <f t="shared" si="20"/>
        <v>26239</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5">
        <v>21427700000000</v>
      </c>
      <c r="R422">
        <v>78.5</v>
      </c>
      <c r="S422">
        <v>9.6</v>
      </c>
      <c r="T422">
        <v>36.6</v>
      </c>
      <c r="U422">
        <v>328239523</v>
      </c>
      <c r="V422">
        <f t="shared" ca="1" si="18"/>
        <v>61.737172127528041</v>
      </c>
      <c r="W422" s="3">
        <f t="shared" ca="1" si="19"/>
        <v>46018</v>
      </c>
      <c r="X422" s="3">
        <f t="shared" si="20"/>
        <v>23468</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5">
        <v>21427700000000</v>
      </c>
      <c r="R423">
        <v>78.5</v>
      </c>
      <c r="S423">
        <v>9.6</v>
      </c>
      <c r="T423">
        <v>36.6</v>
      </c>
      <c r="U423">
        <v>328239523</v>
      </c>
      <c r="V423">
        <f t="shared" ca="1" si="18"/>
        <v>59.375770020533878</v>
      </c>
      <c r="W423" s="3">
        <f t="shared" ca="1" si="19"/>
        <v>46018</v>
      </c>
      <c r="X423" s="3">
        <f t="shared" si="20"/>
        <v>24331</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5">
        <v>21427700000000</v>
      </c>
      <c r="R424">
        <v>78.5</v>
      </c>
      <c r="S424">
        <v>9.6</v>
      </c>
      <c r="T424">
        <v>36.6</v>
      </c>
      <c r="U424">
        <v>328239523</v>
      </c>
      <c r="V424">
        <f t="shared" ca="1" si="18"/>
        <v>82.726217179047367</v>
      </c>
      <c r="W424" s="3">
        <f t="shared" ca="1" si="19"/>
        <v>46018</v>
      </c>
      <c r="X424" s="3">
        <f t="shared" si="20"/>
        <v>15802</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5">
        <v>19910000000000</v>
      </c>
      <c r="R425">
        <v>77</v>
      </c>
      <c r="S425">
        <v>9.4</v>
      </c>
      <c r="T425">
        <v>59.2</v>
      </c>
      <c r="U425">
        <v>1397715000</v>
      </c>
      <c r="V425">
        <f t="shared" ca="1" si="18"/>
        <v>55.071868583162221</v>
      </c>
      <c r="W425" s="3">
        <f t="shared" ca="1" si="19"/>
        <v>46018</v>
      </c>
      <c r="X425" s="3">
        <f t="shared" si="20"/>
        <v>25903</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5">
        <v>2611000000000</v>
      </c>
      <c r="R426">
        <v>69.400000000000006</v>
      </c>
      <c r="S426">
        <v>11.2</v>
      </c>
      <c r="T426">
        <v>49.7</v>
      </c>
      <c r="U426">
        <v>1366417754</v>
      </c>
      <c r="V426">
        <f t="shared" ca="1" si="18"/>
        <v>83.813826146475023</v>
      </c>
      <c r="W426" s="3">
        <f t="shared" ca="1" si="19"/>
        <v>46018</v>
      </c>
      <c r="X426" s="3">
        <f t="shared" si="20"/>
        <v>15405</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5">
        <v>21427700000000</v>
      </c>
      <c r="R427">
        <v>78.5</v>
      </c>
      <c r="S427">
        <v>9.6</v>
      </c>
      <c r="T427">
        <v>36.6</v>
      </c>
      <c r="U427">
        <v>328239523</v>
      </c>
      <c r="V427">
        <f t="shared" ca="1" si="18"/>
        <v>90.279950658884403</v>
      </c>
      <c r="W427" s="3">
        <f t="shared" ca="1" si="19"/>
        <v>46018</v>
      </c>
      <c r="X427" s="3">
        <f t="shared" si="20"/>
        <v>13043</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5">
        <v>19910000000000</v>
      </c>
      <c r="R428">
        <v>77</v>
      </c>
      <c r="S428">
        <v>9.4</v>
      </c>
      <c r="T428">
        <v>59.2</v>
      </c>
      <c r="U428">
        <v>1397715000</v>
      </c>
      <c r="V428">
        <f t="shared" ca="1" si="18"/>
        <v>58.98631090487239</v>
      </c>
      <c r="W428" s="3">
        <f t="shared" ca="1" si="19"/>
        <v>46018</v>
      </c>
      <c r="X428" s="3">
        <f t="shared" si="20"/>
        <v>24473</v>
      </c>
    </row>
    <row r="429" spans="1:24" x14ac:dyDescent="0.3">
      <c r="A429">
        <v>455</v>
      </c>
      <c r="B429" t="s">
        <v>49</v>
      </c>
      <c r="C429" t="s">
        <v>1641</v>
      </c>
      <c r="D429" t="s">
        <v>32</v>
      </c>
      <c r="E429" t="s">
        <v>1642</v>
      </c>
      <c r="F429" t="s">
        <v>1643</v>
      </c>
      <c r="G429" t="s">
        <v>49</v>
      </c>
      <c r="H429" t="b">
        <v>0</v>
      </c>
      <c r="I429" t="s">
        <v>1798</v>
      </c>
      <c r="J429" t="s">
        <v>1644</v>
      </c>
      <c r="K429" t="s">
        <v>1645</v>
      </c>
      <c r="L429">
        <v>5600</v>
      </c>
      <c r="M429">
        <v>1958</v>
      </c>
      <c r="N429">
        <v>1</v>
      </c>
      <c r="O429">
        <v>7</v>
      </c>
      <c r="P429">
        <v>117.24</v>
      </c>
      <c r="Q429" s="5">
        <v>21427700000000</v>
      </c>
      <c r="R429">
        <v>78.5</v>
      </c>
      <c r="S429">
        <v>9.6</v>
      </c>
      <c r="T429">
        <v>36.6</v>
      </c>
      <c r="U429">
        <v>328239523</v>
      </c>
      <c r="V429">
        <f t="shared" ca="1" si="18"/>
        <v>67.969883641341553</v>
      </c>
      <c r="W429" s="3">
        <f t="shared" ca="1" si="19"/>
        <v>46018</v>
      </c>
      <c r="X429" s="3">
        <f t="shared" si="20"/>
        <v>21192</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5">
        <v>21427700000000</v>
      </c>
      <c r="R430">
        <v>78.5</v>
      </c>
      <c r="S430">
        <v>9.6</v>
      </c>
      <c r="T430">
        <v>36.6</v>
      </c>
      <c r="U430">
        <v>328239523</v>
      </c>
      <c r="V430">
        <f t="shared" ca="1" si="18"/>
        <v>72.25255972696246</v>
      </c>
      <c r="W430" s="3">
        <f t="shared" ca="1" si="19"/>
        <v>46018</v>
      </c>
      <c r="X430" s="3">
        <f t="shared" si="20"/>
        <v>19628</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5">
        <v>395098666122</v>
      </c>
      <c r="R431">
        <v>82.8</v>
      </c>
      <c r="S431">
        <v>23.1</v>
      </c>
      <c r="T431">
        <v>25.3</v>
      </c>
      <c r="U431">
        <v>9053300</v>
      </c>
      <c r="V431">
        <f t="shared" ca="1" si="18"/>
        <v>54.154014634874805</v>
      </c>
      <c r="W431" s="3">
        <f t="shared" ca="1" si="19"/>
        <v>46018</v>
      </c>
      <c r="X431" s="3">
        <f t="shared" si="20"/>
        <v>26238</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5">
        <v>2029000000000</v>
      </c>
      <c r="R432">
        <v>82.6</v>
      </c>
      <c r="S432">
        <v>15.6</v>
      </c>
      <c r="T432">
        <v>33.200000000000003</v>
      </c>
      <c r="U432">
        <v>51709098</v>
      </c>
      <c r="V432">
        <f t="shared" ca="1" si="18"/>
        <v>68.178636616141574</v>
      </c>
      <c r="W432" s="3">
        <f t="shared" ca="1" si="19"/>
        <v>46018</v>
      </c>
      <c r="X432" s="3">
        <f t="shared" si="20"/>
        <v>21116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5">
        <v>19910000000000</v>
      </c>
      <c r="R433">
        <v>77</v>
      </c>
      <c r="S433">
        <v>9.4</v>
      </c>
      <c r="T433">
        <v>59.2</v>
      </c>
      <c r="U433">
        <v>1397715000</v>
      </c>
      <c r="V433">
        <f t="shared" ca="1" si="18"/>
        <v>61.986311048308757</v>
      </c>
      <c r="W433" s="3">
        <f t="shared" ca="1" si="19"/>
        <v>46018</v>
      </c>
      <c r="X433" s="3">
        <f t="shared" si="20"/>
        <v>23377</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5">
        <v>21427700000000</v>
      </c>
      <c r="R434">
        <v>78.5</v>
      </c>
      <c r="S434">
        <v>9.6</v>
      </c>
      <c r="T434">
        <v>36.6</v>
      </c>
      <c r="U434">
        <v>328239523</v>
      </c>
      <c r="V434">
        <f t="shared" ca="1" si="18"/>
        <v>76.496230977101405</v>
      </c>
      <c r="W434" s="3">
        <f t="shared" ca="1" si="19"/>
        <v>46018</v>
      </c>
      <c r="X434" s="3">
        <f t="shared" si="20"/>
        <v>18078</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5">
        <v>21427700000000</v>
      </c>
      <c r="R435">
        <v>78.5</v>
      </c>
      <c r="S435">
        <v>9.6</v>
      </c>
      <c r="T435">
        <v>36.6</v>
      </c>
      <c r="U435">
        <v>328239523</v>
      </c>
      <c r="V435">
        <f t="shared" ca="1" si="18"/>
        <v>68.709784937703361</v>
      </c>
      <c r="W435" s="3">
        <f t="shared" ca="1" si="19"/>
        <v>46018</v>
      </c>
      <c r="X435" s="3">
        <f t="shared" si="20"/>
        <v>20922</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5">
        <v>21427700000000</v>
      </c>
      <c r="R436">
        <v>78.5</v>
      </c>
      <c r="S436">
        <v>9.6</v>
      </c>
      <c r="T436">
        <v>36.6</v>
      </c>
      <c r="U436">
        <v>328239523</v>
      </c>
      <c r="V436">
        <f t="shared" ca="1" si="18"/>
        <v>35.392197125256672</v>
      </c>
      <c r="W436" s="3">
        <f t="shared" ca="1" si="19"/>
        <v>46018</v>
      </c>
      <c r="X436" s="3">
        <f t="shared" si="20"/>
        <v>33091</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5">
        <v>21427700000000</v>
      </c>
      <c r="R437">
        <v>78.5</v>
      </c>
      <c r="S437">
        <v>9.6</v>
      </c>
      <c r="T437">
        <v>36.6</v>
      </c>
      <c r="U437">
        <v>328239523</v>
      </c>
      <c r="V437">
        <f t="shared" ca="1" si="18"/>
        <v>37.296397694524501</v>
      </c>
      <c r="W437" s="3">
        <f t="shared" ca="1" si="19"/>
        <v>46018</v>
      </c>
      <c r="X437" s="3">
        <f t="shared" si="20"/>
        <v>32395</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5">
        <v>21427700000000</v>
      </c>
      <c r="R438">
        <v>78.5</v>
      </c>
      <c r="S438">
        <v>9.6</v>
      </c>
      <c r="T438">
        <v>36.6</v>
      </c>
      <c r="U438">
        <v>328239523</v>
      </c>
      <c r="V438">
        <f t="shared" ca="1" si="18"/>
        <v>96.715261508933352</v>
      </c>
      <c r="W438" s="3">
        <f t="shared" ca="1" si="19"/>
        <v>46018</v>
      </c>
      <c r="X438" s="3">
        <f t="shared" si="20"/>
        <v>10693</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5">
        <v>2001244392042</v>
      </c>
      <c r="R439">
        <v>82.9</v>
      </c>
      <c r="S439">
        <v>24.3</v>
      </c>
      <c r="T439">
        <v>59.1</v>
      </c>
      <c r="U439">
        <v>60297396</v>
      </c>
      <c r="V439">
        <f t="shared" ca="1" si="18"/>
        <v>80.600270407300997</v>
      </c>
      <c r="W439" s="3">
        <f t="shared" ca="1" si="19"/>
        <v>46018</v>
      </c>
      <c r="X439" s="3">
        <f t="shared" si="20"/>
        <v>16579</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5">
        <v>21427700000000</v>
      </c>
      <c r="R440">
        <v>78.5</v>
      </c>
      <c r="S440">
        <v>9.6</v>
      </c>
      <c r="T440">
        <v>36.6</v>
      </c>
      <c r="U440">
        <v>328239523</v>
      </c>
      <c r="V440">
        <f t="shared" ca="1" si="18"/>
        <v>60.830251346499104</v>
      </c>
      <c r="W440" s="3">
        <f t="shared" ca="1" si="19"/>
        <v>46018</v>
      </c>
      <c r="X440" s="3">
        <f t="shared" si="20"/>
        <v>23800</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5">
        <v>1736425629520</v>
      </c>
      <c r="R441">
        <v>81.900000000000006</v>
      </c>
      <c r="S441">
        <v>12.8</v>
      </c>
      <c r="T441">
        <v>24.5</v>
      </c>
      <c r="U441">
        <v>36991981</v>
      </c>
      <c r="V441">
        <f t="shared" ca="1" si="18"/>
        <v>97.770023746333294</v>
      </c>
      <c r="W441" s="3">
        <f t="shared" ca="1" si="19"/>
        <v>46018</v>
      </c>
      <c r="X441" s="3">
        <f t="shared" si="20"/>
        <v>10307</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5">
        <v>19910000000000</v>
      </c>
      <c r="R442">
        <v>77</v>
      </c>
      <c r="S442">
        <v>9.4</v>
      </c>
      <c r="T442">
        <v>59.2</v>
      </c>
      <c r="U442">
        <v>1397715000</v>
      </c>
      <c r="V442">
        <f t="shared" ca="1" si="18"/>
        <v>70.824779238807693</v>
      </c>
      <c r="W442" s="3">
        <f t="shared" ca="1" si="19"/>
        <v>46018</v>
      </c>
      <c r="X442" s="3">
        <f t="shared" si="20"/>
        <v>20149</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5">
        <v>3845630030824</v>
      </c>
      <c r="R443">
        <v>80.900000000000006</v>
      </c>
      <c r="S443">
        <v>11.5</v>
      </c>
      <c r="T443">
        <v>48.8</v>
      </c>
      <c r="U443">
        <v>83132799</v>
      </c>
      <c r="V443">
        <f t="shared" ca="1" si="18"/>
        <v>84.564678219416351</v>
      </c>
      <c r="W443" s="3">
        <f t="shared" ca="1" si="19"/>
        <v>46018</v>
      </c>
      <c r="X443" s="3">
        <f t="shared" si="20"/>
        <v>15131</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5">
        <v>3845630030824</v>
      </c>
      <c r="R444">
        <v>80.900000000000006</v>
      </c>
      <c r="S444">
        <v>11.5</v>
      </c>
      <c r="T444">
        <v>48.8</v>
      </c>
      <c r="U444">
        <v>83132799</v>
      </c>
      <c r="V444">
        <f t="shared" ca="1" si="18"/>
        <v>60.98631059245961</v>
      </c>
      <c r="W444" s="3">
        <f t="shared" ca="1" si="19"/>
        <v>46018</v>
      </c>
      <c r="X444" s="3">
        <f t="shared" si="20"/>
        <v>23743</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5">
        <v>21427700000000</v>
      </c>
      <c r="R445">
        <v>78.5</v>
      </c>
      <c r="S445">
        <v>9.6</v>
      </c>
      <c r="T445">
        <v>36.6</v>
      </c>
      <c r="U445">
        <v>328239523</v>
      </c>
      <c r="V445">
        <f t="shared" ca="1" si="18"/>
        <v>69.348404255319153</v>
      </c>
      <c r="W445" s="3">
        <f t="shared" ca="1" si="19"/>
        <v>46018</v>
      </c>
      <c r="X445" s="3">
        <f t="shared" si="20"/>
        <v>20688</v>
      </c>
    </row>
    <row r="446" spans="1:24" x14ac:dyDescent="0.3">
      <c r="A446">
        <v>466</v>
      </c>
      <c r="B446" t="s">
        <v>59</v>
      </c>
      <c r="C446" t="s">
        <v>1695</v>
      </c>
      <c r="D446" t="s">
        <v>32</v>
      </c>
      <c r="E446" t="s">
        <v>1696</v>
      </c>
      <c r="F446" t="s">
        <v>985</v>
      </c>
      <c r="G446" t="s">
        <v>59</v>
      </c>
      <c r="H446" t="b">
        <v>0</v>
      </c>
      <c r="I446" t="s">
        <v>1798</v>
      </c>
      <c r="J446" t="s">
        <v>1697</v>
      </c>
      <c r="K446" t="s">
        <v>1698</v>
      </c>
      <c r="L446">
        <v>5500</v>
      </c>
      <c r="M446">
        <v>1945</v>
      </c>
      <c r="N446">
        <v>1</v>
      </c>
      <c r="O446">
        <v>12</v>
      </c>
      <c r="P446">
        <v>117.24</v>
      </c>
      <c r="Q446" s="5">
        <v>21427700000000</v>
      </c>
      <c r="R446">
        <v>78.5</v>
      </c>
      <c r="S446">
        <v>9.6</v>
      </c>
      <c r="T446">
        <v>36.6</v>
      </c>
      <c r="U446">
        <v>328239523</v>
      </c>
      <c r="V446">
        <f t="shared" ca="1" si="18"/>
        <v>80.95619401723846</v>
      </c>
      <c r="W446" s="3">
        <f t="shared" ca="1" si="19"/>
        <v>46018</v>
      </c>
      <c r="X446" s="3">
        <f t="shared" si="20"/>
        <v>16449</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5">
        <v>21427700000000</v>
      </c>
      <c r="R447">
        <v>78.5</v>
      </c>
      <c r="S447">
        <v>9.6</v>
      </c>
      <c r="T447">
        <v>36.6</v>
      </c>
      <c r="U447">
        <v>328239523</v>
      </c>
      <c r="V447">
        <f t="shared" ca="1" si="18"/>
        <v>81.345664585489629</v>
      </c>
      <c r="W447" s="3">
        <f t="shared" ca="1" si="19"/>
        <v>46018</v>
      </c>
      <c r="X447" s="3">
        <f t="shared" si="20"/>
        <v>16306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5">
        <v>2001244392042</v>
      </c>
      <c r="R448">
        <v>82.9</v>
      </c>
      <c r="S448">
        <v>24.3</v>
      </c>
      <c r="T448">
        <v>59.1</v>
      </c>
      <c r="U448">
        <v>60297396</v>
      </c>
      <c r="V448">
        <f t="shared" ca="1" si="18"/>
        <v>82.77276025860931</v>
      </c>
      <c r="W448" s="3">
        <f t="shared" ca="1" si="19"/>
        <v>46018</v>
      </c>
      <c r="X448" s="3">
        <f t="shared" si="20"/>
        <v>15785</v>
      </c>
    </row>
    <row r="449" spans="1:24" x14ac:dyDescent="0.3">
      <c r="A449">
        <v>466</v>
      </c>
      <c r="B449" t="s">
        <v>59</v>
      </c>
      <c r="C449" t="s">
        <v>1707</v>
      </c>
      <c r="D449" t="s">
        <v>32</v>
      </c>
      <c r="E449" t="s">
        <v>1708</v>
      </c>
      <c r="F449" t="s">
        <v>985</v>
      </c>
      <c r="G449" t="s">
        <v>59</v>
      </c>
      <c r="H449" t="b">
        <v>0</v>
      </c>
      <c r="I449" t="s">
        <v>1798</v>
      </c>
      <c r="J449" t="s">
        <v>1709</v>
      </c>
      <c r="K449" t="s">
        <v>1710</v>
      </c>
      <c r="L449">
        <v>5500</v>
      </c>
      <c r="M449">
        <v>1942</v>
      </c>
      <c r="N449">
        <v>4</v>
      </c>
      <c r="O449">
        <v>15</v>
      </c>
      <c r="P449">
        <v>117.24</v>
      </c>
      <c r="Q449" s="5">
        <v>21427700000000</v>
      </c>
      <c r="R449">
        <v>78.5</v>
      </c>
      <c r="S449">
        <v>9.6</v>
      </c>
      <c r="T449">
        <v>36.6</v>
      </c>
      <c r="U449">
        <v>328239523</v>
      </c>
      <c r="V449">
        <f t="shared" ca="1" si="18"/>
        <v>83.701574264202605</v>
      </c>
      <c r="W449" s="3">
        <f t="shared" ca="1" si="19"/>
        <v>46018</v>
      </c>
      <c r="X449" s="3">
        <f t="shared" si="20"/>
        <v>15446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5">
        <v>1392680589329</v>
      </c>
      <c r="R450">
        <v>82.7</v>
      </c>
      <c r="S450">
        <v>23</v>
      </c>
      <c r="T450">
        <v>47.4</v>
      </c>
      <c r="U450">
        <v>25766605</v>
      </c>
      <c r="V450">
        <f t="shared" ref="V450:V476" ca="1" si="21">YEARFRAC(X450,W450,1)</f>
        <v>70.739906682605167</v>
      </c>
      <c r="W450" s="3">
        <f t="shared" ca="1" si="19"/>
        <v>46018</v>
      </c>
      <c r="X450" s="3">
        <f t="shared" si="20"/>
        <v>20180</v>
      </c>
    </row>
    <row r="451" spans="1:24" x14ac:dyDescent="0.3">
      <c r="A451">
        <v>466</v>
      </c>
      <c r="B451" t="s">
        <v>72</v>
      </c>
      <c r="C451" t="s">
        <v>1713</v>
      </c>
      <c r="D451" t="s">
        <v>105</v>
      </c>
      <c r="E451" t="s">
        <v>153</v>
      </c>
      <c r="F451" t="s">
        <v>1653</v>
      </c>
      <c r="G451" t="s">
        <v>72</v>
      </c>
      <c r="H451" t="b">
        <v>1</v>
      </c>
      <c r="I451" t="s">
        <v>1798</v>
      </c>
      <c r="J451" t="s">
        <v>725</v>
      </c>
      <c r="K451" t="s">
        <v>1714</v>
      </c>
      <c r="L451">
        <v>5500</v>
      </c>
      <c r="M451">
        <v>1967</v>
      </c>
      <c r="N451">
        <v>1</v>
      </c>
      <c r="O451">
        <v>1</v>
      </c>
      <c r="P451">
        <v>125.08</v>
      </c>
      <c r="Q451" s="5">
        <v>19910000000000</v>
      </c>
      <c r="R451">
        <v>77</v>
      </c>
      <c r="S451">
        <v>9.4</v>
      </c>
      <c r="T451">
        <v>59.2</v>
      </c>
      <c r="U451">
        <v>1397715000</v>
      </c>
      <c r="V451">
        <f t="shared" ca="1" si="21"/>
        <v>58.98631090487239</v>
      </c>
      <c r="W451" s="3">
        <f t="shared" ref="W451:W476" ca="1" si="22">TODAY()</f>
        <v>46018</v>
      </c>
      <c r="X451" s="3">
        <f t="shared" ref="X451:X476" si="23">DATE(M451,N451,O451)</f>
        <v>24473</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5">
        <v>2001244392042</v>
      </c>
      <c r="R452">
        <v>82.9</v>
      </c>
      <c r="S452">
        <v>24.3</v>
      </c>
      <c r="T452">
        <v>59.1</v>
      </c>
      <c r="U452">
        <v>60297396</v>
      </c>
      <c r="V452">
        <f t="shared" ca="1" si="21"/>
        <v>79.986310746064333</v>
      </c>
      <c r="W452" s="3">
        <f t="shared" ca="1" si="22"/>
        <v>46018</v>
      </c>
      <c r="X452" s="3">
        <f t="shared" si="23"/>
        <v>16803</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5">
        <v>2611000000000</v>
      </c>
      <c r="R453">
        <v>69.400000000000006</v>
      </c>
      <c r="S453">
        <v>11.2</v>
      </c>
      <c r="T453">
        <v>49.7</v>
      </c>
      <c r="U453">
        <v>1366417754</v>
      </c>
      <c r="V453">
        <f t="shared" ca="1" si="21"/>
        <v>84.690620369773882</v>
      </c>
      <c r="W453" s="3">
        <f t="shared" ca="1" si="22"/>
        <v>46018</v>
      </c>
      <c r="X453" s="3">
        <f t="shared" si="23"/>
        <v>15085</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5">
        <v>21427700000000</v>
      </c>
      <c r="R454">
        <v>78.5</v>
      </c>
      <c r="S454">
        <v>9.6</v>
      </c>
      <c r="T454">
        <v>36.6</v>
      </c>
      <c r="U454">
        <v>328239523</v>
      </c>
      <c r="V454">
        <f t="shared" ca="1" si="21"/>
        <v>45.972622306868232</v>
      </c>
      <c r="W454" s="3">
        <f t="shared" ca="1" si="22"/>
        <v>46018</v>
      </c>
      <c r="X454" s="3">
        <f t="shared" si="23"/>
        <v>29226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5">
        <v>372062527489</v>
      </c>
      <c r="R455">
        <v>83.1</v>
      </c>
      <c r="S455">
        <v>13.1</v>
      </c>
      <c r="T455">
        <v>21</v>
      </c>
      <c r="U455">
        <v>5703569</v>
      </c>
      <c r="V455">
        <f t="shared" ca="1" si="21"/>
        <v>70.863108780318512</v>
      </c>
      <c r="W455" s="3">
        <f t="shared" ca="1" si="22"/>
        <v>46018</v>
      </c>
      <c r="X455" s="3">
        <f t="shared" si="23"/>
        <v>20135</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5">
        <v>19910000000000</v>
      </c>
      <c r="R456">
        <v>77</v>
      </c>
      <c r="S456">
        <v>9.4</v>
      </c>
      <c r="T456">
        <v>59.2</v>
      </c>
      <c r="U456">
        <v>1397715000</v>
      </c>
      <c r="V456">
        <f t="shared" ca="1" si="21"/>
        <v>60.98631059245961</v>
      </c>
      <c r="W456" s="3">
        <f t="shared" ca="1" si="22"/>
        <v>46018</v>
      </c>
      <c r="X456" s="3">
        <f t="shared" si="23"/>
        <v>23743</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5">
        <v>703082435360</v>
      </c>
      <c r="R457">
        <v>83.6</v>
      </c>
      <c r="S457">
        <v>10.1</v>
      </c>
      <c r="T457">
        <v>28.8</v>
      </c>
      <c r="U457">
        <v>8574832</v>
      </c>
      <c r="V457">
        <f t="shared" ca="1" si="21"/>
        <v>79.89048596851471</v>
      </c>
      <c r="W457" s="3">
        <f t="shared" ca="1" si="22"/>
        <v>46018</v>
      </c>
      <c r="X457" s="3">
        <f t="shared" si="23"/>
        <v>16838</v>
      </c>
    </row>
    <row r="458" spans="1:24" x14ac:dyDescent="0.3">
      <c r="A458">
        <v>486</v>
      </c>
      <c r="B458" t="s">
        <v>21</v>
      </c>
      <c r="C458" t="s">
        <v>1738</v>
      </c>
      <c r="D458" t="s">
        <v>680</v>
      </c>
      <c r="E458" t="s">
        <v>681</v>
      </c>
      <c r="F458" t="s">
        <v>165</v>
      </c>
      <c r="G458" t="s">
        <v>21</v>
      </c>
      <c r="H458" t="b">
        <v>0</v>
      </c>
      <c r="I458" t="s">
        <v>1798</v>
      </c>
      <c r="J458" t="s">
        <v>1739</v>
      </c>
      <c r="K458" t="s">
        <v>1740</v>
      </c>
      <c r="L458">
        <v>5400</v>
      </c>
      <c r="M458">
        <v>1949</v>
      </c>
      <c r="N458">
        <v>5</v>
      </c>
      <c r="O458">
        <v>10</v>
      </c>
      <c r="P458">
        <v>110.62</v>
      </c>
      <c r="Q458" s="5">
        <v>2001244392042</v>
      </c>
      <c r="R458">
        <v>82.9</v>
      </c>
      <c r="S458">
        <v>24.3</v>
      </c>
      <c r="T458">
        <v>59.1</v>
      </c>
      <c r="U458">
        <v>60297396</v>
      </c>
      <c r="V458">
        <f t="shared" ca="1" si="21"/>
        <v>76.633124733323854</v>
      </c>
      <c r="W458" s="3">
        <f t="shared" ca="1" si="22"/>
        <v>46018</v>
      </c>
      <c r="X458" s="3">
        <f t="shared" si="23"/>
        <v>18028</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5">
        <v>3845630030824</v>
      </c>
      <c r="R459">
        <v>80.900000000000006</v>
      </c>
      <c r="S459">
        <v>11.5</v>
      </c>
      <c r="T459">
        <v>48.8</v>
      </c>
      <c r="U459">
        <v>83132799</v>
      </c>
      <c r="V459">
        <f t="shared" ca="1" si="21"/>
        <v>73.227940360353685</v>
      </c>
      <c r="W459" s="3">
        <f t="shared" ca="1" si="22"/>
        <v>46018</v>
      </c>
      <c r="X459" s="3">
        <f t="shared" si="23"/>
        <v>19271</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5">
        <v>3845630030824</v>
      </c>
      <c r="R460">
        <v>80.900000000000006</v>
      </c>
      <c r="S460">
        <v>11.5</v>
      </c>
      <c r="T460">
        <v>48.8</v>
      </c>
      <c r="U460">
        <v>83132799</v>
      </c>
      <c r="V460">
        <f t="shared" ca="1" si="21"/>
        <v>60.745377019748652</v>
      </c>
      <c r="W460" s="3">
        <f t="shared" ca="1" si="22"/>
        <v>46018</v>
      </c>
      <c r="X460" s="3">
        <f t="shared" si="23"/>
        <v>23831</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5">
        <v>446314739528</v>
      </c>
      <c r="R461">
        <v>81.599999999999994</v>
      </c>
      <c r="S461">
        <v>25.4</v>
      </c>
      <c r="T461">
        <v>51.4</v>
      </c>
      <c r="U461">
        <v>8877067</v>
      </c>
      <c r="V461">
        <f t="shared" ca="1" si="21"/>
        <v>62.457911433662161</v>
      </c>
      <c r="W461" s="3">
        <f t="shared" ca="1" si="22"/>
        <v>46018</v>
      </c>
      <c r="X461" s="3">
        <f t="shared" si="23"/>
        <v>23205</v>
      </c>
    </row>
    <row r="462" spans="1:24" x14ac:dyDescent="0.3">
      <c r="A462">
        <v>486</v>
      </c>
      <c r="B462" t="s">
        <v>21</v>
      </c>
      <c r="C462" t="s">
        <v>1749</v>
      </c>
      <c r="D462" t="s">
        <v>208</v>
      </c>
      <c r="E462" t="s">
        <v>1081</v>
      </c>
      <c r="F462" t="s">
        <v>1743</v>
      </c>
      <c r="G462" t="s">
        <v>21</v>
      </c>
      <c r="H462" t="b">
        <v>0</v>
      </c>
      <c r="I462" t="s">
        <v>1798</v>
      </c>
      <c r="J462" t="s">
        <v>1750</v>
      </c>
      <c r="K462" t="s">
        <v>1751</v>
      </c>
      <c r="L462">
        <v>5400</v>
      </c>
      <c r="M462">
        <v>1951</v>
      </c>
      <c r="N462">
        <v>10</v>
      </c>
      <c r="O462">
        <v>8</v>
      </c>
      <c r="P462">
        <v>118.06</v>
      </c>
      <c r="Q462" s="5">
        <v>446314739528</v>
      </c>
      <c r="R462">
        <v>81.599999999999994</v>
      </c>
      <c r="S462">
        <v>25.4</v>
      </c>
      <c r="T462">
        <v>51.4</v>
      </c>
      <c r="U462">
        <v>8877067</v>
      </c>
      <c r="V462">
        <f t="shared" ca="1" si="21"/>
        <v>74.219719646637955</v>
      </c>
      <c r="W462" s="3">
        <f t="shared" ca="1" si="22"/>
        <v>46018</v>
      </c>
      <c r="X462" s="3">
        <f t="shared" si="23"/>
        <v>18909</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5">
        <v>21427700000000</v>
      </c>
      <c r="R463">
        <v>78.5</v>
      </c>
      <c r="S463">
        <v>9.6</v>
      </c>
      <c r="T463">
        <v>36.6</v>
      </c>
      <c r="U463">
        <v>328239523</v>
      </c>
      <c r="V463">
        <f t="shared" ca="1" si="21"/>
        <v>52.268984399214794</v>
      </c>
      <c r="W463" s="3">
        <f t="shared" ca="1" si="22"/>
        <v>46018</v>
      </c>
      <c r="X463" s="3">
        <f t="shared" si="23"/>
        <v>26927</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5">
        <v>21427700000000</v>
      </c>
      <c r="R464">
        <v>78.5</v>
      </c>
      <c r="S464">
        <v>9.6</v>
      </c>
      <c r="T464">
        <v>36.6</v>
      </c>
      <c r="U464">
        <v>328239523</v>
      </c>
      <c r="V464">
        <f t="shared" ca="1" si="21"/>
        <v>66.969883949002948</v>
      </c>
      <c r="W464" s="3">
        <f t="shared" ca="1" si="22"/>
        <v>46018</v>
      </c>
      <c r="X464" s="3">
        <f t="shared" si="23"/>
        <v>21557</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5">
        <v>754411708203</v>
      </c>
      <c r="R465">
        <v>77.400000000000006</v>
      </c>
      <c r="S465">
        <v>17.899999999999999</v>
      </c>
      <c r="T465">
        <v>42.3</v>
      </c>
      <c r="U465">
        <v>83429615</v>
      </c>
      <c r="V465">
        <f t="shared" ca="1" si="21"/>
        <v>63.252566735112936</v>
      </c>
      <c r="W465" s="3">
        <f t="shared" ca="1" si="22"/>
        <v>46018</v>
      </c>
      <c r="X465" s="3">
        <f t="shared" si="23"/>
        <v>22915</v>
      </c>
    </row>
    <row r="466" spans="1:24" x14ac:dyDescent="0.3">
      <c r="A466">
        <v>497</v>
      </c>
      <c r="B466" t="s">
        <v>49</v>
      </c>
      <c r="C466" t="s">
        <v>1764</v>
      </c>
      <c r="D466" t="s">
        <v>32</v>
      </c>
      <c r="E466" t="s">
        <v>1339</v>
      </c>
      <c r="F466" t="s">
        <v>371</v>
      </c>
      <c r="G466" t="s">
        <v>49</v>
      </c>
      <c r="H466" t="b">
        <v>0</v>
      </c>
      <c r="I466" t="s">
        <v>1798</v>
      </c>
      <c r="J466" t="s">
        <v>372</v>
      </c>
      <c r="K466" t="s">
        <v>874</v>
      </c>
      <c r="L466">
        <v>5300</v>
      </c>
      <c r="M466">
        <v>1963</v>
      </c>
      <c r="N466">
        <v>5</v>
      </c>
      <c r="O466">
        <v>7</v>
      </c>
      <c r="P466">
        <v>117.24</v>
      </c>
      <c r="Q466" s="5">
        <v>21427700000000</v>
      </c>
      <c r="R466">
        <v>78.5</v>
      </c>
      <c r="S466">
        <v>9.6</v>
      </c>
      <c r="T466">
        <v>36.6</v>
      </c>
      <c r="U466">
        <v>328239523</v>
      </c>
      <c r="V466">
        <f t="shared" ca="1" si="21"/>
        <v>62.641345443483551</v>
      </c>
      <c r="W466" s="3">
        <f t="shared" ca="1" si="22"/>
        <v>46018</v>
      </c>
      <c r="X466" s="3">
        <f t="shared" si="23"/>
        <v>23138</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5">
        <v>21427700000000</v>
      </c>
      <c r="R467">
        <v>78.5</v>
      </c>
      <c r="S467">
        <v>9.6</v>
      </c>
      <c r="T467">
        <v>36.6</v>
      </c>
      <c r="U467">
        <v>328239523</v>
      </c>
      <c r="V467">
        <f t="shared" ca="1" si="21"/>
        <v>68.482541068169198</v>
      </c>
      <c r="W467" s="3">
        <f t="shared" ca="1" si="22"/>
        <v>46018</v>
      </c>
      <c r="X467" s="3">
        <f t="shared" si="23"/>
        <v>21005</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5">
        <v>1119190780753</v>
      </c>
      <c r="R468">
        <v>71.5</v>
      </c>
      <c r="S468">
        <v>10.199999999999999</v>
      </c>
      <c r="T468">
        <v>30.1</v>
      </c>
      <c r="U468">
        <v>270203917</v>
      </c>
      <c r="V468">
        <f t="shared" ca="1" si="21"/>
        <v>81.622182898734607</v>
      </c>
      <c r="W468" s="3">
        <f t="shared" ca="1" si="22"/>
        <v>46018</v>
      </c>
      <c r="X468" s="3">
        <f t="shared" si="23"/>
        <v>16205</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5">
        <v>21427700000000</v>
      </c>
      <c r="R469">
        <v>78.5</v>
      </c>
      <c r="S469">
        <v>9.6</v>
      </c>
      <c r="T469">
        <v>36.6</v>
      </c>
      <c r="U469">
        <v>328239523</v>
      </c>
      <c r="V469">
        <f t="shared" ca="1" si="21"/>
        <v>75.559206023271727</v>
      </c>
      <c r="W469" s="3">
        <f t="shared" ca="1" si="22"/>
        <v>46018</v>
      </c>
      <c r="X469" s="3">
        <f t="shared" si="23"/>
        <v>18420</v>
      </c>
    </row>
    <row r="470" spans="1:24" x14ac:dyDescent="0.3">
      <c r="A470">
        <v>497</v>
      </c>
      <c r="B470" t="s">
        <v>103</v>
      </c>
      <c r="C470" t="s">
        <v>1771</v>
      </c>
      <c r="D470" t="s">
        <v>32</v>
      </c>
      <c r="E470" t="s">
        <v>886</v>
      </c>
      <c r="F470" t="s">
        <v>1183</v>
      </c>
      <c r="G470" t="s">
        <v>103</v>
      </c>
      <c r="H470" t="b">
        <v>1</v>
      </c>
      <c r="I470" t="s">
        <v>1798</v>
      </c>
      <c r="J470" t="s">
        <v>1772</v>
      </c>
      <c r="K470" t="s">
        <v>1773</v>
      </c>
      <c r="L470">
        <v>5300</v>
      </c>
      <c r="M470">
        <v>1943</v>
      </c>
      <c r="N470">
        <v>1</v>
      </c>
      <c r="O470">
        <v>2</v>
      </c>
      <c r="P470">
        <v>117.24</v>
      </c>
      <c r="Q470" s="5">
        <v>21427700000000</v>
      </c>
      <c r="R470">
        <v>78.5</v>
      </c>
      <c r="S470">
        <v>9.6</v>
      </c>
      <c r="T470">
        <v>36.6</v>
      </c>
      <c r="U470">
        <v>328239523</v>
      </c>
      <c r="V470">
        <f t="shared" ca="1" si="21"/>
        <v>82.983573030742846</v>
      </c>
      <c r="W470" s="3">
        <f t="shared" ca="1" si="22"/>
        <v>46018</v>
      </c>
      <c r="X470" s="3">
        <f t="shared" si="23"/>
        <v>15708</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5">
        <v>21427700000000</v>
      </c>
      <c r="R471">
        <v>78.5</v>
      </c>
      <c r="S471">
        <v>9.6</v>
      </c>
      <c r="T471">
        <v>36.6</v>
      </c>
      <c r="U471">
        <v>328239523</v>
      </c>
      <c r="V471">
        <f t="shared" ca="1" si="21"/>
        <v>89.006175280625442</v>
      </c>
      <c r="W471" s="3">
        <f t="shared" ca="1" si="22"/>
        <v>46018</v>
      </c>
      <c r="X471" s="3">
        <f t="shared" si="23"/>
        <v>13508</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5">
        <v>21427700000000</v>
      </c>
      <c r="R472">
        <v>78.5</v>
      </c>
      <c r="S472">
        <v>9.6</v>
      </c>
      <c r="T472">
        <v>36.6</v>
      </c>
      <c r="U472">
        <v>328239523</v>
      </c>
      <c r="V472">
        <f t="shared" ca="1" si="21"/>
        <v>81.323762144836564</v>
      </c>
      <c r="W472" s="3">
        <f t="shared" ca="1" si="22"/>
        <v>46018</v>
      </c>
      <c r="X472" s="3">
        <f t="shared" si="23"/>
        <v>16314</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5">
        <v>21427700000000</v>
      </c>
      <c r="R473">
        <v>78.5</v>
      </c>
      <c r="S473">
        <v>9.6</v>
      </c>
      <c r="T473">
        <v>36.6</v>
      </c>
      <c r="U473">
        <v>328239523</v>
      </c>
      <c r="V473">
        <f t="shared" ca="1" si="21"/>
        <v>65.597544281743893</v>
      </c>
      <c r="W473" s="3">
        <f t="shared" ca="1" si="22"/>
        <v>46018</v>
      </c>
      <c r="X473" s="3">
        <f t="shared" si="23"/>
        <v>22058</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5">
        <v>21427700000000</v>
      </c>
      <c r="R474">
        <v>78.5</v>
      </c>
      <c r="S474">
        <v>9.6</v>
      </c>
      <c r="T474">
        <v>36.6</v>
      </c>
      <c r="U474">
        <v>328239523</v>
      </c>
      <c r="V474">
        <f t="shared" ca="1" si="21"/>
        <v>84.608484184758098</v>
      </c>
      <c r="W474" s="3">
        <f t="shared" ca="1" si="22"/>
        <v>46018</v>
      </c>
      <c r="X474" s="3">
        <f t="shared" si="23"/>
        <v>15115</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5">
        <v>3845630030824</v>
      </c>
      <c r="R475">
        <v>80.900000000000006</v>
      </c>
      <c r="S475">
        <v>11.5</v>
      </c>
      <c r="T475">
        <v>48.8</v>
      </c>
      <c r="U475">
        <v>83132799</v>
      </c>
      <c r="V475">
        <f t="shared" ca="1" si="21"/>
        <v>80.570153794152432</v>
      </c>
      <c r="W475" s="3">
        <f t="shared" ca="1" si="22"/>
        <v>46018</v>
      </c>
      <c r="X475" s="3">
        <f t="shared" si="23"/>
        <v>16590</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5">
        <v>421142267938</v>
      </c>
      <c r="R476">
        <v>77.8</v>
      </c>
      <c r="S476">
        <v>0.1</v>
      </c>
      <c r="T476">
        <v>15.9</v>
      </c>
      <c r="U476">
        <v>9770529</v>
      </c>
      <c r="V476">
        <f t="shared" ca="1" si="21"/>
        <v>70.115682720857592</v>
      </c>
      <c r="W476" s="3">
        <f t="shared" ca="1" si="22"/>
        <v>46018</v>
      </c>
      <c r="X476" s="3">
        <f t="shared" si="23"/>
        <v>20408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2459B-AF19-48DD-A821-307CA6E709D5}">
  <dimension ref="A1:V482"/>
  <sheetViews>
    <sheetView zoomScale="107" workbookViewId="0"/>
  </sheetViews>
  <sheetFormatPr defaultColWidth="10.69921875" defaultRowHeight="15.6" x14ac:dyDescent="0.3"/>
  <cols>
    <col min="1" max="1" width="4.69921875" customWidth="1"/>
    <col min="8" max="8" width="11" customWidth="1"/>
    <col min="12" max="16" width="11" customWidth="1"/>
    <col min="18" max="20" width="11" customWidth="1"/>
    <col min="21" max="21" width="12"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Detail1</vt:lpstr>
      <vt:lpstr>Sheet3</vt:lpstr>
      <vt:lpstr>Data</vt:lpstr>
      <vt:lpstr>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Yuvraj Sharma</cp:lastModifiedBy>
  <dcterms:created xsi:type="dcterms:W3CDTF">2024-04-01T06:54:26Z</dcterms:created>
  <dcterms:modified xsi:type="dcterms:W3CDTF">2025-12-27T07:55:59Z</dcterms:modified>
</cp:coreProperties>
</file>